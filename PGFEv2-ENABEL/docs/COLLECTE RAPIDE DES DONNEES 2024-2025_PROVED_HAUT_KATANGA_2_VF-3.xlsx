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HP\Documents\HAUT KATANGA 2\STATISTIQUES_HAUT_KATANGA_2_2025\"/>
    </mc:Choice>
  </mc:AlternateContent>
  <xr:revisionPtr revIDLastSave="0" documentId="13_ncr:1_{5AB96D2B-A8E3-4309-A470-42188690558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KASENGA" sheetId="1" r:id="rId1"/>
    <sheet name="KILWA" sheetId="5" r:id="rId2"/>
    <sheet name="MITWABA" sheetId="6" r:id="rId3"/>
    <sheet name="PWETO" sheetId="7" r:id="rId4"/>
    <sheet name="SYNTHESE_HKAT_2" sheetId="10" r:id="rId5"/>
    <sheet name="SYNTHESE GENERALE" sheetId="8" state="hidden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5" i="10" l="1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C174" i="10"/>
  <c r="R180" i="7"/>
  <c r="Q180" i="7"/>
  <c r="S180" i="7" s="1"/>
  <c r="R179" i="7"/>
  <c r="Q179" i="7"/>
  <c r="R178" i="7"/>
  <c r="Q178" i="7"/>
  <c r="R177" i="7"/>
  <c r="Q177" i="7"/>
  <c r="S177" i="7" s="1"/>
  <c r="R176" i="7"/>
  <c r="Q176" i="7"/>
  <c r="S176" i="7" s="1"/>
  <c r="R175" i="7"/>
  <c r="Q175" i="7"/>
  <c r="S175" i="7" s="1"/>
  <c r="R174" i="7"/>
  <c r="Q174" i="7"/>
  <c r="O181" i="6"/>
  <c r="P181" i="6"/>
  <c r="Q174" i="6"/>
  <c r="R180" i="6"/>
  <c r="Q180" i="6"/>
  <c r="S180" i="6" s="1"/>
  <c r="R179" i="6"/>
  <c r="Q179" i="6"/>
  <c r="S179" i="6" s="1"/>
  <c r="R178" i="6"/>
  <c r="Q178" i="6"/>
  <c r="S178" i="6" s="1"/>
  <c r="R177" i="6"/>
  <c r="Q177" i="6"/>
  <c r="S177" i="6" s="1"/>
  <c r="R176" i="6"/>
  <c r="Q176" i="6"/>
  <c r="R175" i="6"/>
  <c r="Q175" i="6"/>
  <c r="R174" i="6"/>
  <c r="O181" i="5"/>
  <c r="P181" i="5"/>
  <c r="R180" i="5"/>
  <c r="Q180" i="5"/>
  <c r="R179" i="5"/>
  <c r="Q179" i="5"/>
  <c r="S179" i="5" s="1"/>
  <c r="R178" i="5"/>
  <c r="Q178" i="5"/>
  <c r="S178" i="5" s="1"/>
  <c r="R177" i="5"/>
  <c r="Q177" i="5"/>
  <c r="R176" i="5"/>
  <c r="Q176" i="5"/>
  <c r="R175" i="5"/>
  <c r="Q175" i="5"/>
  <c r="S175" i="5" s="1"/>
  <c r="R174" i="5"/>
  <c r="Q174" i="5"/>
  <c r="O182" i="1"/>
  <c r="P182" i="1"/>
  <c r="S176" i="5" l="1"/>
  <c r="S178" i="7"/>
  <c r="S176" i="6"/>
  <c r="S175" i="6"/>
  <c r="S179" i="7"/>
  <c r="R181" i="7"/>
  <c r="Q181" i="7"/>
  <c r="S174" i="7"/>
  <c r="R181" i="6"/>
  <c r="Q181" i="6"/>
  <c r="S174" i="6"/>
  <c r="S181" i="6" s="1"/>
  <c r="S180" i="5"/>
  <c r="R181" i="5"/>
  <c r="S177" i="5"/>
  <c r="Q181" i="5"/>
  <c r="S174" i="5"/>
  <c r="S181" i="5" l="1"/>
  <c r="S181" i="7"/>
  <c r="Q176" i="1" l="1"/>
  <c r="Q175" i="10" s="1"/>
  <c r="R176" i="1"/>
  <c r="R175" i="10" s="1"/>
  <c r="Q177" i="1"/>
  <c r="Q176" i="10" s="1"/>
  <c r="R177" i="1"/>
  <c r="R176" i="10" s="1"/>
  <c r="Q178" i="1"/>
  <c r="Q177" i="10" s="1"/>
  <c r="R178" i="1"/>
  <c r="R177" i="10" s="1"/>
  <c r="Q179" i="1"/>
  <c r="Q178" i="10" s="1"/>
  <c r="R179" i="1"/>
  <c r="R178" i="10" s="1"/>
  <c r="Q180" i="1"/>
  <c r="Q179" i="10" s="1"/>
  <c r="R180" i="1"/>
  <c r="R179" i="10" s="1"/>
  <c r="Q181" i="1"/>
  <c r="Q180" i="10" s="1"/>
  <c r="R181" i="1"/>
  <c r="R180" i="10" s="1"/>
  <c r="R175" i="1"/>
  <c r="R174" i="10" s="1"/>
  <c r="Q175" i="1"/>
  <c r="I33" i="1"/>
  <c r="Q108" i="5"/>
  <c r="Q109" i="5"/>
  <c r="O107" i="5"/>
  <c r="Q107" i="5" s="1"/>
  <c r="P107" i="5"/>
  <c r="O108" i="5"/>
  <c r="P108" i="5"/>
  <c r="O109" i="5"/>
  <c r="P109" i="5"/>
  <c r="O110" i="5"/>
  <c r="P110" i="5"/>
  <c r="Q110" i="5" s="1"/>
  <c r="O111" i="5"/>
  <c r="Q111" i="5" s="1"/>
  <c r="P111" i="5"/>
  <c r="O112" i="5"/>
  <c r="P112" i="5"/>
  <c r="Q112" i="5" s="1"/>
  <c r="P106" i="5"/>
  <c r="Q106" i="5" s="1"/>
  <c r="O106" i="5"/>
  <c r="O125" i="5"/>
  <c r="N125" i="5"/>
  <c r="M125" i="5"/>
  <c r="L125" i="5"/>
  <c r="K125" i="5"/>
  <c r="J125" i="5"/>
  <c r="I125" i="5"/>
  <c r="H125" i="5"/>
  <c r="I131" i="1"/>
  <c r="J131" i="1"/>
  <c r="K131" i="1"/>
  <c r="L131" i="1"/>
  <c r="M131" i="1"/>
  <c r="N131" i="1"/>
  <c r="O131" i="1"/>
  <c r="H131" i="1"/>
  <c r="O130" i="7"/>
  <c r="I130" i="7"/>
  <c r="H130" i="7"/>
  <c r="I135" i="7"/>
  <c r="J135" i="7"/>
  <c r="K135" i="7"/>
  <c r="L135" i="7"/>
  <c r="M135" i="7"/>
  <c r="N135" i="7"/>
  <c r="O135" i="7"/>
  <c r="H135" i="7"/>
  <c r="J130" i="7"/>
  <c r="K130" i="7"/>
  <c r="L130" i="7"/>
  <c r="M130" i="7"/>
  <c r="N130" i="7"/>
  <c r="I125" i="7"/>
  <c r="J125" i="7"/>
  <c r="K125" i="7"/>
  <c r="L125" i="7"/>
  <c r="M125" i="7"/>
  <c r="N125" i="7"/>
  <c r="O125" i="7"/>
  <c r="H125" i="7"/>
  <c r="I120" i="7"/>
  <c r="J120" i="7"/>
  <c r="K120" i="7"/>
  <c r="L120" i="7"/>
  <c r="M120" i="7"/>
  <c r="N120" i="7"/>
  <c r="O120" i="7"/>
  <c r="H120" i="7"/>
  <c r="I160" i="7"/>
  <c r="J160" i="7"/>
  <c r="P160" i="7" s="1"/>
  <c r="K160" i="7"/>
  <c r="L160" i="7"/>
  <c r="M160" i="7"/>
  <c r="N160" i="7"/>
  <c r="O160" i="7"/>
  <c r="H160" i="7"/>
  <c r="I155" i="7"/>
  <c r="J155" i="7"/>
  <c r="K155" i="7"/>
  <c r="L155" i="7"/>
  <c r="M155" i="7"/>
  <c r="N155" i="7"/>
  <c r="O155" i="7"/>
  <c r="H155" i="7"/>
  <c r="I160" i="6"/>
  <c r="J160" i="6"/>
  <c r="K160" i="6"/>
  <c r="L160" i="6"/>
  <c r="M160" i="6"/>
  <c r="N160" i="6"/>
  <c r="O160" i="6"/>
  <c r="H160" i="6"/>
  <c r="I135" i="6"/>
  <c r="J135" i="6"/>
  <c r="K135" i="6"/>
  <c r="L135" i="6"/>
  <c r="M135" i="6"/>
  <c r="N135" i="6"/>
  <c r="O135" i="6"/>
  <c r="H135" i="6"/>
  <c r="I130" i="6"/>
  <c r="J130" i="6"/>
  <c r="K130" i="6"/>
  <c r="L130" i="6"/>
  <c r="M130" i="6"/>
  <c r="N130" i="6"/>
  <c r="O130" i="6"/>
  <c r="H130" i="6"/>
  <c r="I125" i="6"/>
  <c r="J125" i="6"/>
  <c r="K125" i="6"/>
  <c r="L125" i="6"/>
  <c r="M125" i="6"/>
  <c r="N125" i="6"/>
  <c r="O125" i="6"/>
  <c r="H125" i="6"/>
  <c r="I120" i="6"/>
  <c r="J120" i="6"/>
  <c r="K120" i="6"/>
  <c r="L120" i="6"/>
  <c r="M120" i="6"/>
  <c r="N120" i="6"/>
  <c r="O120" i="6"/>
  <c r="H120" i="6"/>
  <c r="I160" i="5"/>
  <c r="J160" i="5"/>
  <c r="K160" i="5"/>
  <c r="L160" i="5"/>
  <c r="M160" i="5"/>
  <c r="N160" i="5"/>
  <c r="O160" i="5"/>
  <c r="H160" i="5"/>
  <c r="I135" i="5"/>
  <c r="J135" i="5"/>
  <c r="K135" i="5"/>
  <c r="L135" i="5"/>
  <c r="M135" i="5"/>
  <c r="N135" i="5"/>
  <c r="O135" i="5"/>
  <c r="H135" i="5"/>
  <c r="I130" i="5"/>
  <c r="J130" i="5"/>
  <c r="K130" i="5"/>
  <c r="L130" i="5"/>
  <c r="M130" i="5"/>
  <c r="N130" i="5"/>
  <c r="O130" i="5"/>
  <c r="H130" i="5"/>
  <c r="I120" i="5"/>
  <c r="J120" i="5"/>
  <c r="K120" i="5"/>
  <c r="L120" i="5"/>
  <c r="M120" i="5"/>
  <c r="N120" i="5"/>
  <c r="O120" i="5"/>
  <c r="H120" i="5"/>
  <c r="I161" i="1"/>
  <c r="J161" i="1"/>
  <c r="K161" i="1"/>
  <c r="L161" i="1"/>
  <c r="M161" i="1"/>
  <c r="N161" i="1"/>
  <c r="O161" i="1"/>
  <c r="H161" i="1"/>
  <c r="I126" i="1"/>
  <c r="J126" i="1"/>
  <c r="K126" i="1"/>
  <c r="L126" i="1"/>
  <c r="M126" i="1"/>
  <c r="N126" i="1"/>
  <c r="O126" i="1"/>
  <c r="H126" i="1"/>
  <c r="I121" i="1"/>
  <c r="J121" i="1"/>
  <c r="K121" i="1"/>
  <c r="L121" i="1"/>
  <c r="M121" i="1"/>
  <c r="I156" i="1"/>
  <c r="J156" i="1"/>
  <c r="K156" i="1"/>
  <c r="L156" i="1"/>
  <c r="M156" i="1"/>
  <c r="N156" i="1"/>
  <c r="O156" i="1"/>
  <c r="H156" i="1"/>
  <c r="O122" i="1"/>
  <c r="O121" i="1" s="1"/>
  <c r="N122" i="1"/>
  <c r="N121" i="1" s="1"/>
  <c r="M122" i="1"/>
  <c r="L122" i="1"/>
  <c r="K122" i="1"/>
  <c r="J122" i="1"/>
  <c r="I122" i="1"/>
  <c r="H122" i="1"/>
  <c r="H121" i="1" s="1"/>
  <c r="Q113" i="5" l="1"/>
  <c r="P113" i="5"/>
  <c r="S175" i="1"/>
  <c r="S174" i="10" s="1"/>
  <c r="Q174" i="10"/>
  <c r="S180" i="1"/>
  <c r="S179" i="10" s="1"/>
  <c r="S176" i="1"/>
  <c r="S175" i="10" s="1"/>
  <c r="S179" i="1"/>
  <c r="S178" i="10" s="1"/>
  <c r="S178" i="1"/>
  <c r="S177" i="10" s="1"/>
  <c r="S177" i="1"/>
  <c r="S176" i="10" s="1"/>
  <c r="Q182" i="1"/>
  <c r="Q181" i="10" s="1"/>
  <c r="S181" i="1"/>
  <c r="S180" i="10" s="1"/>
  <c r="G159" i="7"/>
  <c r="F159" i="7"/>
  <c r="E159" i="7"/>
  <c r="D159" i="7"/>
  <c r="G154" i="7"/>
  <c r="Q154" i="7" s="1"/>
  <c r="F154" i="7"/>
  <c r="P154" i="7" s="1"/>
  <c r="E154" i="7"/>
  <c r="D154" i="7"/>
  <c r="G134" i="7"/>
  <c r="F134" i="7"/>
  <c r="P134" i="7" s="1"/>
  <c r="E134" i="7"/>
  <c r="E164" i="7" s="1"/>
  <c r="D134" i="7"/>
  <c r="G129" i="7"/>
  <c r="F129" i="7"/>
  <c r="E129" i="7"/>
  <c r="D129" i="7"/>
  <c r="G124" i="7"/>
  <c r="Q124" i="7" s="1"/>
  <c r="F124" i="7"/>
  <c r="P124" i="7" s="1"/>
  <c r="E124" i="7"/>
  <c r="D124" i="7"/>
  <c r="G119" i="7"/>
  <c r="F119" i="7"/>
  <c r="P119" i="7" s="1"/>
  <c r="E119" i="7"/>
  <c r="D119" i="7"/>
  <c r="G159" i="6"/>
  <c r="F159" i="6"/>
  <c r="E159" i="6"/>
  <c r="D159" i="6"/>
  <c r="G154" i="6"/>
  <c r="F154" i="6"/>
  <c r="E154" i="6"/>
  <c r="E155" i="10" s="1"/>
  <c r="D154" i="6"/>
  <c r="P154" i="6" s="1"/>
  <c r="G134" i="6"/>
  <c r="G164" i="6" s="1"/>
  <c r="F134" i="6"/>
  <c r="F164" i="6" s="1"/>
  <c r="E134" i="6"/>
  <c r="D134" i="6"/>
  <c r="G129" i="6"/>
  <c r="F129" i="6"/>
  <c r="E129" i="6"/>
  <c r="D129" i="6"/>
  <c r="P129" i="6" s="1"/>
  <c r="G124" i="6"/>
  <c r="F124" i="6"/>
  <c r="E124" i="6"/>
  <c r="Q124" i="6" s="1"/>
  <c r="D124" i="6"/>
  <c r="P124" i="6" s="1"/>
  <c r="G119" i="6"/>
  <c r="F119" i="6"/>
  <c r="P119" i="6" s="1"/>
  <c r="E119" i="6"/>
  <c r="D119" i="6"/>
  <c r="G159" i="5"/>
  <c r="F159" i="5"/>
  <c r="E159" i="5"/>
  <c r="D159" i="5"/>
  <c r="G154" i="5"/>
  <c r="F154" i="5"/>
  <c r="E154" i="5"/>
  <c r="D154" i="5"/>
  <c r="G134" i="5"/>
  <c r="F134" i="5"/>
  <c r="P134" i="5" s="1"/>
  <c r="E134" i="5"/>
  <c r="E164" i="5" s="1"/>
  <c r="D134" i="5"/>
  <c r="G129" i="5"/>
  <c r="F129" i="5"/>
  <c r="E129" i="5"/>
  <c r="D129" i="5"/>
  <c r="P129" i="5" s="1"/>
  <c r="G124" i="5"/>
  <c r="F124" i="5"/>
  <c r="E124" i="5"/>
  <c r="E125" i="10" s="1"/>
  <c r="D124" i="5"/>
  <c r="G119" i="5"/>
  <c r="F119" i="5"/>
  <c r="E119" i="5"/>
  <c r="E120" i="10" s="1"/>
  <c r="D119" i="5"/>
  <c r="E160" i="1"/>
  <c r="F160" i="1"/>
  <c r="G160" i="1"/>
  <c r="D160" i="1"/>
  <c r="P160" i="1" s="1"/>
  <c r="P160" i="10" s="1"/>
  <c r="E155" i="1"/>
  <c r="F155" i="1"/>
  <c r="F165" i="1" s="1"/>
  <c r="G155" i="1"/>
  <c r="G165" i="1" s="1"/>
  <c r="D155" i="1"/>
  <c r="P155" i="1" s="1"/>
  <c r="E135" i="1"/>
  <c r="F135" i="1"/>
  <c r="P135" i="1" s="1"/>
  <c r="G135" i="1"/>
  <c r="D135" i="1"/>
  <c r="E130" i="1"/>
  <c r="F130" i="1"/>
  <c r="G130" i="1"/>
  <c r="G130" i="10" s="1"/>
  <c r="D130" i="1"/>
  <c r="P130" i="1" s="1"/>
  <c r="R130" i="1" s="1"/>
  <c r="E125" i="1"/>
  <c r="F125" i="1"/>
  <c r="G125" i="1"/>
  <c r="Q125" i="1" s="1"/>
  <c r="D125" i="1"/>
  <c r="E120" i="1"/>
  <c r="F120" i="1"/>
  <c r="P120" i="1" s="1"/>
  <c r="G120" i="1"/>
  <c r="Q120" i="1" s="1"/>
  <c r="D120" i="1"/>
  <c r="O168" i="7"/>
  <c r="N168" i="7"/>
  <c r="M168" i="7"/>
  <c r="L168" i="7"/>
  <c r="K168" i="7"/>
  <c r="J168" i="7"/>
  <c r="I168" i="7"/>
  <c r="H168" i="7"/>
  <c r="G168" i="7"/>
  <c r="F168" i="7"/>
  <c r="E168" i="7"/>
  <c r="D168" i="7"/>
  <c r="O167" i="7"/>
  <c r="N167" i="7"/>
  <c r="M167" i="7"/>
  <c r="L167" i="7"/>
  <c r="K167" i="7"/>
  <c r="J167" i="7"/>
  <c r="I167" i="7"/>
  <c r="H167" i="7"/>
  <c r="G167" i="7"/>
  <c r="F167" i="7"/>
  <c r="E167" i="7"/>
  <c r="D167" i="7"/>
  <c r="O166" i="7"/>
  <c r="N166" i="7"/>
  <c r="M166" i="7"/>
  <c r="L166" i="7"/>
  <c r="K166" i="7"/>
  <c r="J166" i="7"/>
  <c r="I166" i="7"/>
  <c r="H166" i="7"/>
  <c r="G166" i="7"/>
  <c r="F166" i="7"/>
  <c r="E166" i="7"/>
  <c r="D166" i="7"/>
  <c r="O165" i="7"/>
  <c r="N165" i="7"/>
  <c r="M165" i="7"/>
  <c r="L165" i="7"/>
  <c r="K165" i="7"/>
  <c r="J165" i="7"/>
  <c r="I165" i="7"/>
  <c r="H165" i="7"/>
  <c r="G165" i="7"/>
  <c r="F165" i="7"/>
  <c r="E165" i="7"/>
  <c r="D165" i="7"/>
  <c r="O164" i="7"/>
  <c r="N164" i="7"/>
  <c r="M164" i="7"/>
  <c r="L164" i="7"/>
  <c r="K164" i="7"/>
  <c r="J164" i="7"/>
  <c r="I164" i="7"/>
  <c r="H164" i="7"/>
  <c r="D164" i="7"/>
  <c r="Q163" i="7"/>
  <c r="P163" i="7"/>
  <c r="Q162" i="7"/>
  <c r="P162" i="7"/>
  <c r="Q161" i="7"/>
  <c r="P161" i="7"/>
  <c r="Q160" i="7"/>
  <c r="Q159" i="7"/>
  <c r="P159" i="7"/>
  <c r="Q158" i="7"/>
  <c r="P158" i="7"/>
  <c r="Q157" i="7"/>
  <c r="P157" i="7"/>
  <c r="Q156" i="7"/>
  <c r="P156" i="7"/>
  <c r="Q155" i="7"/>
  <c r="P155" i="7"/>
  <c r="P165" i="7" s="1"/>
  <c r="Q153" i="7"/>
  <c r="P153" i="7"/>
  <c r="Q152" i="7"/>
  <c r="P152" i="7"/>
  <c r="Q151" i="7"/>
  <c r="P151" i="7"/>
  <c r="Q150" i="7"/>
  <c r="P150" i="7"/>
  <c r="Q149" i="7"/>
  <c r="P149" i="7"/>
  <c r="Q148" i="7"/>
  <c r="P148" i="7"/>
  <c r="Q147" i="7"/>
  <c r="P147" i="7"/>
  <c r="Q146" i="7"/>
  <c r="P146" i="7"/>
  <c r="Q145" i="7"/>
  <c r="P145" i="7"/>
  <c r="Q144" i="7"/>
  <c r="P144" i="7"/>
  <c r="Q143" i="7"/>
  <c r="P143" i="7"/>
  <c r="Q142" i="7"/>
  <c r="P142" i="7"/>
  <c r="Q141" i="7"/>
  <c r="P141" i="7"/>
  <c r="Q140" i="7"/>
  <c r="P140" i="7"/>
  <c r="Q139" i="7"/>
  <c r="P139" i="7"/>
  <c r="Q138" i="7"/>
  <c r="Q139" i="10" s="1"/>
  <c r="P138" i="7"/>
  <c r="Q137" i="7"/>
  <c r="P137" i="7"/>
  <c r="Q136" i="7"/>
  <c r="P136" i="7"/>
  <c r="Q135" i="7"/>
  <c r="P135" i="7"/>
  <c r="Q133" i="7"/>
  <c r="P133" i="7"/>
  <c r="Q132" i="7"/>
  <c r="P132" i="7"/>
  <c r="Q131" i="7"/>
  <c r="P131" i="7"/>
  <c r="Q130" i="7"/>
  <c r="P130" i="7"/>
  <c r="Q129" i="7"/>
  <c r="P129" i="7"/>
  <c r="Q128" i="7"/>
  <c r="P128" i="7"/>
  <c r="Q127" i="7"/>
  <c r="P127" i="7"/>
  <c r="Q126" i="7"/>
  <c r="P126" i="7"/>
  <c r="Q125" i="7"/>
  <c r="P125" i="7"/>
  <c r="Q123" i="7"/>
  <c r="P123" i="7"/>
  <c r="Q122" i="7"/>
  <c r="P122" i="7"/>
  <c r="Q121" i="7"/>
  <c r="P121" i="7"/>
  <c r="Q120" i="7"/>
  <c r="P120" i="7"/>
  <c r="O168" i="6"/>
  <c r="N168" i="6"/>
  <c r="M168" i="6"/>
  <c r="L168" i="6"/>
  <c r="K168" i="6"/>
  <c r="J168" i="6"/>
  <c r="I168" i="6"/>
  <c r="H168" i="6"/>
  <c r="G168" i="6"/>
  <c r="F168" i="6"/>
  <c r="E168" i="6"/>
  <c r="D168" i="6"/>
  <c r="O167" i="6"/>
  <c r="N167" i="6"/>
  <c r="M167" i="6"/>
  <c r="L167" i="6"/>
  <c r="K167" i="6"/>
  <c r="J167" i="6"/>
  <c r="I167" i="6"/>
  <c r="H167" i="6"/>
  <c r="G167" i="6"/>
  <c r="F167" i="6"/>
  <c r="E167" i="6"/>
  <c r="D167" i="6"/>
  <c r="O166" i="6"/>
  <c r="N166" i="6"/>
  <c r="M166" i="6"/>
  <c r="L166" i="6"/>
  <c r="K166" i="6"/>
  <c r="J166" i="6"/>
  <c r="I166" i="6"/>
  <c r="H166" i="6"/>
  <c r="G166" i="6"/>
  <c r="F166" i="6"/>
  <c r="E166" i="6"/>
  <c r="D166" i="6"/>
  <c r="O165" i="6"/>
  <c r="N165" i="6"/>
  <c r="M165" i="6"/>
  <c r="L165" i="6"/>
  <c r="K165" i="6"/>
  <c r="J165" i="6"/>
  <c r="I165" i="6"/>
  <c r="H165" i="6"/>
  <c r="G165" i="6"/>
  <c r="F165" i="6"/>
  <c r="E165" i="6"/>
  <c r="D165" i="6"/>
  <c r="O164" i="6"/>
  <c r="N164" i="6"/>
  <c r="M164" i="6"/>
  <c r="L164" i="6"/>
  <c r="K164" i="6"/>
  <c r="J164" i="6"/>
  <c r="I164" i="6"/>
  <c r="H164" i="6"/>
  <c r="Q163" i="6"/>
  <c r="P163" i="6"/>
  <c r="Q162" i="6"/>
  <c r="P162" i="6"/>
  <c r="Q161" i="6"/>
  <c r="P161" i="6"/>
  <c r="Q160" i="6"/>
  <c r="P160" i="6"/>
  <c r="Q159" i="6"/>
  <c r="P159" i="6"/>
  <c r="Q158" i="6"/>
  <c r="P158" i="6"/>
  <c r="Q157" i="6"/>
  <c r="P157" i="6"/>
  <c r="Q156" i="6"/>
  <c r="P156" i="6"/>
  <c r="P157" i="10" s="1"/>
  <c r="Q155" i="6"/>
  <c r="P155" i="6"/>
  <c r="Q153" i="6"/>
  <c r="P153" i="6"/>
  <c r="Q152" i="6"/>
  <c r="P152" i="6"/>
  <c r="Q151" i="6"/>
  <c r="P151" i="6"/>
  <c r="Q150" i="6"/>
  <c r="P150" i="6"/>
  <c r="Q149" i="6"/>
  <c r="P149" i="6"/>
  <c r="Q148" i="6"/>
  <c r="P148" i="6"/>
  <c r="Q147" i="6"/>
  <c r="P147" i="6"/>
  <c r="Q146" i="6"/>
  <c r="P146" i="6"/>
  <c r="Q145" i="6"/>
  <c r="P145" i="6"/>
  <c r="Q144" i="6"/>
  <c r="P144" i="6"/>
  <c r="Q143" i="6"/>
  <c r="P143" i="6"/>
  <c r="Q142" i="6"/>
  <c r="P142" i="6"/>
  <c r="Q141" i="6"/>
  <c r="P141" i="6"/>
  <c r="Q140" i="6"/>
  <c r="P140" i="6"/>
  <c r="Q139" i="6"/>
  <c r="P139" i="6"/>
  <c r="Q138" i="6"/>
  <c r="P138" i="6"/>
  <c r="Q137" i="6"/>
  <c r="P137" i="6"/>
  <c r="Q136" i="6"/>
  <c r="P136" i="6"/>
  <c r="Q135" i="6"/>
  <c r="P135" i="6"/>
  <c r="Q133" i="6"/>
  <c r="P133" i="6"/>
  <c r="Q132" i="6"/>
  <c r="P132" i="6"/>
  <c r="Q131" i="6"/>
  <c r="P131" i="6"/>
  <c r="Q130" i="6"/>
  <c r="P130" i="6"/>
  <c r="Q129" i="6"/>
  <c r="Q128" i="6"/>
  <c r="P128" i="6"/>
  <c r="Q127" i="6"/>
  <c r="P127" i="6"/>
  <c r="Q126" i="6"/>
  <c r="P126" i="6"/>
  <c r="Q125" i="6"/>
  <c r="P125" i="6"/>
  <c r="Q123" i="6"/>
  <c r="P123" i="6"/>
  <c r="Q122" i="6"/>
  <c r="P122" i="6"/>
  <c r="Q121" i="6"/>
  <c r="P121" i="6"/>
  <c r="Q120" i="6"/>
  <c r="P120" i="6"/>
  <c r="O168" i="5"/>
  <c r="N168" i="5"/>
  <c r="M168" i="5"/>
  <c r="L168" i="5"/>
  <c r="K168" i="5"/>
  <c r="J168" i="5"/>
  <c r="I168" i="5"/>
  <c r="H168" i="5"/>
  <c r="G168" i="5"/>
  <c r="F168" i="5"/>
  <c r="E168" i="5"/>
  <c r="D168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O164" i="5"/>
  <c r="N164" i="5"/>
  <c r="M164" i="5"/>
  <c r="L164" i="5"/>
  <c r="K164" i="5"/>
  <c r="J164" i="5"/>
  <c r="I164" i="5"/>
  <c r="H164" i="5"/>
  <c r="Q163" i="5"/>
  <c r="P163" i="5"/>
  <c r="Q162" i="5"/>
  <c r="P162" i="5"/>
  <c r="Q161" i="5"/>
  <c r="P161" i="5"/>
  <c r="Q160" i="5"/>
  <c r="P160" i="5"/>
  <c r="Q159" i="5"/>
  <c r="P159" i="5"/>
  <c r="Q158" i="5"/>
  <c r="P158" i="5"/>
  <c r="Q157" i="5"/>
  <c r="P157" i="5"/>
  <c r="Q156" i="5"/>
  <c r="P156" i="5"/>
  <c r="Q155" i="5"/>
  <c r="P155" i="5"/>
  <c r="Q153" i="5"/>
  <c r="P153" i="5"/>
  <c r="Q152" i="5"/>
  <c r="P152" i="5"/>
  <c r="Q151" i="5"/>
  <c r="P151" i="5"/>
  <c r="Q150" i="5"/>
  <c r="P150" i="5"/>
  <c r="Q149" i="5"/>
  <c r="P149" i="5"/>
  <c r="Q148" i="5"/>
  <c r="P148" i="5"/>
  <c r="Q147" i="5"/>
  <c r="P147" i="5"/>
  <c r="Q146" i="5"/>
  <c r="P146" i="5"/>
  <c r="Q145" i="5"/>
  <c r="P145" i="5"/>
  <c r="Q144" i="5"/>
  <c r="P144" i="5"/>
  <c r="Q143" i="5"/>
  <c r="P143" i="5"/>
  <c r="Q142" i="5"/>
  <c r="P142" i="5"/>
  <c r="Q141" i="5"/>
  <c r="P141" i="5"/>
  <c r="Q140" i="5"/>
  <c r="P140" i="5"/>
  <c r="Q139" i="5"/>
  <c r="P139" i="5"/>
  <c r="Q138" i="5"/>
  <c r="P138" i="5"/>
  <c r="Q137" i="5"/>
  <c r="P137" i="5"/>
  <c r="Q136" i="5"/>
  <c r="P136" i="5"/>
  <c r="Q135" i="5"/>
  <c r="P135" i="5"/>
  <c r="Q133" i="5"/>
  <c r="P133" i="5"/>
  <c r="Q132" i="5"/>
  <c r="P132" i="5"/>
  <c r="Q131" i="5"/>
  <c r="P131" i="5"/>
  <c r="Q130" i="5"/>
  <c r="P130" i="5"/>
  <c r="Q129" i="5"/>
  <c r="Q128" i="5"/>
  <c r="P128" i="5"/>
  <c r="Q127" i="5"/>
  <c r="P127" i="5"/>
  <c r="Q126" i="5"/>
  <c r="P126" i="5"/>
  <c r="Q125" i="5"/>
  <c r="P125" i="5"/>
  <c r="Q123" i="5"/>
  <c r="P123" i="5"/>
  <c r="Q122" i="5"/>
  <c r="P122" i="5"/>
  <c r="Q121" i="5"/>
  <c r="P121" i="5"/>
  <c r="Q120" i="5"/>
  <c r="P120" i="5"/>
  <c r="H165" i="1"/>
  <c r="I165" i="1"/>
  <c r="J165" i="1"/>
  <c r="K165" i="1"/>
  <c r="L165" i="1"/>
  <c r="M165" i="1"/>
  <c r="N165" i="1"/>
  <c r="N165" i="10" s="1"/>
  <c r="O165" i="1"/>
  <c r="O165" i="10" s="1"/>
  <c r="E166" i="1"/>
  <c r="F166" i="1"/>
  <c r="F166" i="10" s="1"/>
  <c r="G166" i="1"/>
  <c r="H166" i="1"/>
  <c r="I166" i="1"/>
  <c r="J166" i="1"/>
  <c r="K166" i="1"/>
  <c r="L166" i="1"/>
  <c r="M166" i="1"/>
  <c r="N166" i="1"/>
  <c r="N166" i="10" s="1"/>
  <c r="O166" i="1"/>
  <c r="O166" i="10" s="1"/>
  <c r="E167" i="1"/>
  <c r="F167" i="1"/>
  <c r="F167" i="10" s="1"/>
  <c r="G167" i="1"/>
  <c r="G167" i="10" s="1"/>
  <c r="H167" i="1"/>
  <c r="I167" i="1"/>
  <c r="J167" i="1"/>
  <c r="K167" i="1"/>
  <c r="L167" i="1"/>
  <c r="M167" i="1"/>
  <c r="N167" i="1"/>
  <c r="O167" i="1"/>
  <c r="O167" i="10" s="1"/>
  <c r="E168" i="1"/>
  <c r="F168" i="1"/>
  <c r="G168" i="1"/>
  <c r="G168" i="10" s="1"/>
  <c r="H168" i="1"/>
  <c r="H168" i="10" s="1"/>
  <c r="I168" i="1"/>
  <c r="J168" i="1"/>
  <c r="K168" i="1"/>
  <c r="L168" i="1"/>
  <c r="M168" i="1"/>
  <c r="N168" i="1"/>
  <c r="O168" i="1"/>
  <c r="O168" i="10" s="1"/>
  <c r="E169" i="1"/>
  <c r="F169" i="1"/>
  <c r="G169" i="1"/>
  <c r="G169" i="10" s="1"/>
  <c r="H169" i="1"/>
  <c r="H169" i="10" s="1"/>
  <c r="I169" i="1"/>
  <c r="I169" i="10" s="1"/>
  <c r="J169" i="1"/>
  <c r="K169" i="1"/>
  <c r="L169" i="1"/>
  <c r="M169" i="1"/>
  <c r="N169" i="1"/>
  <c r="O169" i="1"/>
  <c r="D166" i="1"/>
  <c r="D167" i="1"/>
  <c r="D168" i="1"/>
  <c r="D168" i="10" s="1"/>
  <c r="D169" i="1"/>
  <c r="P121" i="1"/>
  <c r="Q121" i="1"/>
  <c r="R121" i="1"/>
  <c r="P122" i="1"/>
  <c r="Q122" i="1"/>
  <c r="P123" i="1"/>
  <c r="Q123" i="1"/>
  <c r="P124" i="1"/>
  <c r="Q124" i="1"/>
  <c r="R124" i="1"/>
  <c r="P125" i="1"/>
  <c r="P126" i="1"/>
  <c r="Q126" i="1"/>
  <c r="R126" i="1"/>
  <c r="P127" i="1"/>
  <c r="Q127" i="1"/>
  <c r="P128" i="1"/>
  <c r="Q128" i="1"/>
  <c r="R128" i="1"/>
  <c r="P129" i="1"/>
  <c r="Q129" i="1"/>
  <c r="R129" i="1"/>
  <c r="Q130" i="1"/>
  <c r="P131" i="1"/>
  <c r="Q131" i="1"/>
  <c r="P132" i="1"/>
  <c r="Q132" i="1"/>
  <c r="R132" i="1"/>
  <c r="P133" i="1"/>
  <c r="Q133" i="1"/>
  <c r="R133" i="1"/>
  <c r="P134" i="1"/>
  <c r="Q134" i="1"/>
  <c r="R134" i="1" s="1"/>
  <c r="P136" i="1"/>
  <c r="Q136" i="1"/>
  <c r="R136" i="1"/>
  <c r="P137" i="1"/>
  <c r="Q137" i="1"/>
  <c r="R137" i="1"/>
  <c r="P138" i="1"/>
  <c r="Q138" i="1"/>
  <c r="R138" i="1"/>
  <c r="P139" i="1"/>
  <c r="R139" i="1" s="1"/>
  <c r="Q139" i="1"/>
  <c r="P140" i="1"/>
  <c r="Q140" i="1"/>
  <c r="P141" i="1"/>
  <c r="Q141" i="1"/>
  <c r="R141" i="1"/>
  <c r="P142" i="1"/>
  <c r="Q142" i="1"/>
  <c r="R142" i="1"/>
  <c r="P143" i="1"/>
  <c r="P168" i="1" s="1"/>
  <c r="Q143" i="1"/>
  <c r="R143" i="1" s="1"/>
  <c r="P144" i="1"/>
  <c r="Q144" i="1"/>
  <c r="R144" i="1"/>
  <c r="P145" i="1"/>
  <c r="Q145" i="1"/>
  <c r="R145" i="1"/>
  <c r="P146" i="1"/>
  <c r="Q146" i="1"/>
  <c r="R146" i="1"/>
  <c r="P147" i="1"/>
  <c r="Q147" i="1"/>
  <c r="R147" i="1" s="1"/>
  <c r="P148" i="1"/>
  <c r="Q148" i="1"/>
  <c r="R148" i="1"/>
  <c r="P149" i="1"/>
  <c r="Q149" i="1"/>
  <c r="R149" i="1"/>
  <c r="P150" i="1"/>
  <c r="Q150" i="1"/>
  <c r="R150" i="1"/>
  <c r="P151" i="1"/>
  <c r="Q151" i="1"/>
  <c r="R151" i="1" s="1"/>
  <c r="P152" i="1"/>
  <c r="Q152" i="1"/>
  <c r="R152" i="1"/>
  <c r="P153" i="1"/>
  <c r="Q153" i="1"/>
  <c r="R153" i="1"/>
  <c r="P154" i="1"/>
  <c r="Q154" i="1"/>
  <c r="R154" i="1"/>
  <c r="Q155" i="1"/>
  <c r="P156" i="1"/>
  <c r="R156" i="1" s="1"/>
  <c r="Q156" i="1"/>
  <c r="P157" i="1"/>
  <c r="Q157" i="1"/>
  <c r="R157" i="1"/>
  <c r="P158" i="1"/>
  <c r="Q158" i="1"/>
  <c r="R158" i="1"/>
  <c r="P159" i="1"/>
  <c r="Q159" i="1"/>
  <c r="R159" i="1"/>
  <c r="Q160" i="1"/>
  <c r="P161" i="1"/>
  <c r="Q161" i="1"/>
  <c r="P162" i="1"/>
  <c r="Q162" i="1"/>
  <c r="R162" i="1"/>
  <c r="P163" i="1"/>
  <c r="Q163" i="1"/>
  <c r="Q163" i="10" s="1"/>
  <c r="R163" i="1"/>
  <c r="P164" i="1"/>
  <c r="P169" i="1" s="1"/>
  <c r="Q164" i="1"/>
  <c r="R164" i="1" s="1"/>
  <c r="R169" i="1" s="1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H125" i="10"/>
  <c r="I125" i="10"/>
  <c r="J125" i="10"/>
  <c r="K125" i="10"/>
  <c r="L125" i="10"/>
  <c r="M125" i="10"/>
  <c r="N125" i="10"/>
  <c r="O125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D130" i="10"/>
  <c r="F130" i="10"/>
  <c r="H130" i="10"/>
  <c r="I130" i="10"/>
  <c r="J130" i="10"/>
  <c r="K130" i="10"/>
  <c r="L130" i="10"/>
  <c r="M130" i="10"/>
  <c r="N130" i="10"/>
  <c r="O130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H135" i="10"/>
  <c r="I135" i="10"/>
  <c r="J135" i="10"/>
  <c r="K135" i="10"/>
  <c r="L135" i="10"/>
  <c r="M135" i="10"/>
  <c r="N135" i="10"/>
  <c r="O135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H155" i="10"/>
  <c r="I155" i="10"/>
  <c r="J155" i="10"/>
  <c r="K155" i="10"/>
  <c r="L155" i="10"/>
  <c r="M155" i="10"/>
  <c r="N155" i="10"/>
  <c r="O155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E160" i="10"/>
  <c r="F160" i="10"/>
  <c r="G160" i="10"/>
  <c r="H160" i="10"/>
  <c r="I160" i="10"/>
  <c r="J160" i="10"/>
  <c r="K160" i="10"/>
  <c r="L160" i="10"/>
  <c r="M160" i="10"/>
  <c r="N160" i="10"/>
  <c r="O160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H120" i="10"/>
  <c r="I120" i="10"/>
  <c r="J120" i="10"/>
  <c r="K120" i="10"/>
  <c r="L120" i="10"/>
  <c r="M120" i="10"/>
  <c r="N120" i="10"/>
  <c r="O120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D106" i="10"/>
  <c r="E106" i="10"/>
  <c r="F106" i="10"/>
  <c r="G106" i="10"/>
  <c r="H106" i="10"/>
  <c r="I106" i="10"/>
  <c r="J106" i="10"/>
  <c r="K106" i="10"/>
  <c r="L106" i="10"/>
  <c r="M106" i="10"/>
  <c r="N106" i="10"/>
  <c r="C106" i="10"/>
  <c r="H70" i="6"/>
  <c r="P70" i="6" s="1"/>
  <c r="P73" i="6"/>
  <c r="O69" i="6"/>
  <c r="P69" i="6"/>
  <c r="O70" i="6"/>
  <c r="O71" i="6"/>
  <c r="P71" i="6"/>
  <c r="Q71" i="6" s="1"/>
  <c r="O72" i="6"/>
  <c r="P72" i="6"/>
  <c r="O73" i="6"/>
  <c r="O74" i="6"/>
  <c r="P74" i="6"/>
  <c r="P68" i="6"/>
  <c r="O68" i="6"/>
  <c r="C57" i="10"/>
  <c r="D57" i="10"/>
  <c r="E57" i="10"/>
  <c r="F57" i="10"/>
  <c r="G57" i="10"/>
  <c r="H57" i="10"/>
  <c r="C58" i="10"/>
  <c r="D58" i="10"/>
  <c r="E58" i="10"/>
  <c r="F58" i="10"/>
  <c r="G58" i="10"/>
  <c r="H58" i="10"/>
  <c r="C59" i="10"/>
  <c r="D59" i="10"/>
  <c r="E59" i="10"/>
  <c r="F59" i="10"/>
  <c r="G59" i="10"/>
  <c r="H59" i="10"/>
  <c r="C60" i="10"/>
  <c r="D60" i="10"/>
  <c r="E60" i="10"/>
  <c r="F60" i="10"/>
  <c r="G60" i="10"/>
  <c r="H60" i="10"/>
  <c r="C61" i="10"/>
  <c r="D61" i="10"/>
  <c r="E61" i="10"/>
  <c r="F61" i="10"/>
  <c r="G61" i="10"/>
  <c r="H61" i="10"/>
  <c r="C62" i="10"/>
  <c r="D62" i="10"/>
  <c r="E62" i="10"/>
  <c r="F62" i="10"/>
  <c r="G62" i="10"/>
  <c r="H62" i="10"/>
  <c r="D56" i="10"/>
  <c r="E56" i="10"/>
  <c r="F56" i="10"/>
  <c r="G56" i="10"/>
  <c r="H56" i="10"/>
  <c r="I58" i="1"/>
  <c r="I59" i="1"/>
  <c r="I60" i="1"/>
  <c r="I61" i="1"/>
  <c r="I62" i="1"/>
  <c r="I63" i="1"/>
  <c r="I57" i="1"/>
  <c r="H63" i="7"/>
  <c r="C56" i="10"/>
  <c r="I56" i="5"/>
  <c r="M45" i="6"/>
  <c r="N45" i="6"/>
  <c r="O45" i="6" s="1"/>
  <c r="M46" i="6"/>
  <c r="N46" i="6"/>
  <c r="M47" i="6"/>
  <c r="N47" i="6"/>
  <c r="O47" i="6" s="1"/>
  <c r="M48" i="6"/>
  <c r="N48" i="6"/>
  <c r="O48" i="6" s="1"/>
  <c r="M49" i="6"/>
  <c r="N49" i="6"/>
  <c r="M50" i="6"/>
  <c r="N50" i="6"/>
  <c r="O50" i="6" s="1"/>
  <c r="N44" i="6"/>
  <c r="M44" i="6"/>
  <c r="O44" i="6" s="1"/>
  <c r="C94" i="10"/>
  <c r="D94" i="10"/>
  <c r="E94" i="10"/>
  <c r="F94" i="10"/>
  <c r="G94" i="10"/>
  <c r="H94" i="10"/>
  <c r="C95" i="10"/>
  <c r="D95" i="10"/>
  <c r="E95" i="10"/>
  <c r="F95" i="10"/>
  <c r="G95" i="10"/>
  <c r="H95" i="10"/>
  <c r="C96" i="10"/>
  <c r="D96" i="10"/>
  <c r="E96" i="10"/>
  <c r="F96" i="10"/>
  <c r="G96" i="10"/>
  <c r="H96" i="10"/>
  <c r="C97" i="10"/>
  <c r="D97" i="10"/>
  <c r="E97" i="10"/>
  <c r="F97" i="10"/>
  <c r="G97" i="10"/>
  <c r="H97" i="10"/>
  <c r="C98" i="10"/>
  <c r="D98" i="10"/>
  <c r="E98" i="10"/>
  <c r="F98" i="10"/>
  <c r="G98" i="10"/>
  <c r="H98" i="10"/>
  <c r="C99" i="10"/>
  <c r="D99" i="10"/>
  <c r="E99" i="10"/>
  <c r="F99" i="10"/>
  <c r="G99" i="10"/>
  <c r="H99" i="10"/>
  <c r="D93" i="10"/>
  <c r="E93" i="10"/>
  <c r="F93" i="10"/>
  <c r="G93" i="10"/>
  <c r="H93" i="10"/>
  <c r="C81" i="10"/>
  <c r="D81" i="10"/>
  <c r="E81" i="10"/>
  <c r="F81" i="10"/>
  <c r="G81" i="10"/>
  <c r="H81" i="10"/>
  <c r="I81" i="10"/>
  <c r="J81" i="10"/>
  <c r="C82" i="10"/>
  <c r="D82" i="10"/>
  <c r="E82" i="10"/>
  <c r="F82" i="10"/>
  <c r="G82" i="10"/>
  <c r="H82" i="10"/>
  <c r="I82" i="10"/>
  <c r="J82" i="10"/>
  <c r="C83" i="10"/>
  <c r="D83" i="10"/>
  <c r="E83" i="10"/>
  <c r="F83" i="10"/>
  <c r="G83" i="10"/>
  <c r="H83" i="10"/>
  <c r="I83" i="10"/>
  <c r="J83" i="10"/>
  <c r="C84" i="10"/>
  <c r="D84" i="10"/>
  <c r="E84" i="10"/>
  <c r="F84" i="10"/>
  <c r="H84" i="10"/>
  <c r="I84" i="10"/>
  <c r="J84" i="10"/>
  <c r="C85" i="10"/>
  <c r="D85" i="10"/>
  <c r="E85" i="10"/>
  <c r="F85" i="10"/>
  <c r="G85" i="10"/>
  <c r="H85" i="10"/>
  <c r="I85" i="10"/>
  <c r="J85" i="10"/>
  <c r="C86" i="10"/>
  <c r="D86" i="10"/>
  <c r="E86" i="10"/>
  <c r="F86" i="10"/>
  <c r="H86" i="10"/>
  <c r="I86" i="10"/>
  <c r="J86" i="10"/>
  <c r="D80" i="10"/>
  <c r="E80" i="10"/>
  <c r="F80" i="10"/>
  <c r="G80" i="10"/>
  <c r="H80" i="10"/>
  <c r="I80" i="10"/>
  <c r="J80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C70" i="10"/>
  <c r="D70" i="10"/>
  <c r="E70" i="10"/>
  <c r="F70" i="10"/>
  <c r="G70" i="10"/>
  <c r="I70" i="10"/>
  <c r="J70" i="10"/>
  <c r="K70" i="10"/>
  <c r="L70" i="10"/>
  <c r="M70" i="10"/>
  <c r="N70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D68" i="10"/>
  <c r="E68" i="10"/>
  <c r="F68" i="10"/>
  <c r="G68" i="10"/>
  <c r="H68" i="10"/>
  <c r="I68" i="10"/>
  <c r="J68" i="10"/>
  <c r="K68" i="10"/>
  <c r="L68" i="10"/>
  <c r="M68" i="10"/>
  <c r="N68" i="10"/>
  <c r="C45" i="10"/>
  <c r="D45" i="10"/>
  <c r="E45" i="10"/>
  <c r="F45" i="10"/>
  <c r="G45" i="10"/>
  <c r="H45" i="10"/>
  <c r="I45" i="10"/>
  <c r="J45" i="10"/>
  <c r="K45" i="10"/>
  <c r="L45" i="10"/>
  <c r="C46" i="10"/>
  <c r="D46" i="10"/>
  <c r="E46" i="10"/>
  <c r="F46" i="10"/>
  <c r="G46" i="10"/>
  <c r="H46" i="10"/>
  <c r="I46" i="10"/>
  <c r="J46" i="10"/>
  <c r="K46" i="10"/>
  <c r="L46" i="10"/>
  <c r="C47" i="10"/>
  <c r="D47" i="10"/>
  <c r="E47" i="10"/>
  <c r="F47" i="10"/>
  <c r="G47" i="10"/>
  <c r="H47" i="10"/>
  <c r="I47" i="10"/>
  <c r="J47" i="10"/>
  <c r="K47" i="10"/>
  <c r="L47" i="10"/>
  <c r="C48" i="10"/>
  <c r="D48" i="10"/>
  <c r="E48" i="10"/>
  <c r="F48" i="10"/>
  <c r="G48" i="10"/>
  <c r="H48" i="10"/>
  <c r="I48" i="10"/>
  <c r="J48" i="10"/>
  <c r="K48" i="10"/>
  <c r="L48" i="10"/>
  <c r="C49" i="10"/>
  <c r="D49" i="10"/>
  <c r="E49" i="10"/>
  <c r="F49" i="10"/>
  <c r="G49" i="10"/>
  <c r="H49" i="10"/>
  <c r="I49" i="10"/>
  <c r="J49" i="10"/>
  <c r="K49" i="10"/>
  <c r="L49" i="10"/>
  <c r="C50" i="10"/>
  <c r="D50" i="10"/>
  <c r="E50" i="10"/>
  <c r="F50" i="10"/>
  <c r="G50" i="10"/>
  <c r="H50" i="10"/>
  <c r="I50" i="10"/>
  <c r="J50" i="10"/>
  <c r="K50" i="10"/>
  <c r="L50" i="10"/>
  <c r="D44" i="10"/>
  <c r="E44" i="10"/>
  <c r="F44" i="10"/>
  <c r="G44" i="10"/>
  <c r="H44" i="10"/>
  <c r="I44" i="10"/>
  <c r="J44" i="10"/>
  <c r="K44" i="10"/>
  <c r="L44" i="10"/>
  <c r="C33" i="10"/>
  <c r="D33" i="10"/>
  <c r="E33" i="10"/>
  <c r="F33" i="10"/>
  <c r="G33" i="10"/>
  <c r="H33" i="10"/>
  <c r="C34" i="10"/>
  <c r="D34" i="10"/>
  <c r="E34" i="10"/>
  <c r="F34" i="10"/>
  <c r="G34" i="10"/>
  <c r="H34" i="10"/>
  <c r="C35" i="10"/>
  <c r="D35" i="10"/>
  <c r="E35" i="10"/>
  <c r="F35" i="10"/>
  <c r="G35" i="10"/>
  <c r="H35" i="10"/>
  <c r="C36" i="10"/>
  <c r="D36" i="10"/>
  <c r="E36" i="10"/>
  <c r="F36" i="10"/>
  <c r="G36" i="10"/>
  <c r="H36" i="10"/>
  <c r="C37" i="10"/>
  <c r="D37" i="10"/>
  <c r="E37" i="10"/>
  <c r="F37" i="10"/>
  <c r="G37" i="10"/>
  <c r="H37" i="10"/>
  <c r="C38" i="10"/>
  <c r="D38" i="10"/>
  <c r="E38" i="10"/>
  <c r="F38" i="10"/>
  <c r="G38" i="10"/>
  <c r="H38" i="10"/>
  <c r="D32" i="10"/>
  <c r="E32" i="10"/>
  <c r="F32" i="10"/>
  <c r="G32" i="10"/>
  <c r="H32" i="10"/>
  <c r="C21" i="10"/>
  <c r="D21" i="10"/>
  <c r="E21" i="10"/>
  <c r="C22" i="10"/>
  <c r="D22" i="10"/>
  <c r="E22" i="10"/>
  <c r="C23" i="10"/>
  <c r="D23" i="10"/>
  <c r="E23" i="10"/>
  <c r="C24" i="10"/>
  <c r="D24" i="10"/>
  <c r="E24" i="10"/>
  <c r="C25" i="10"/>
  <c r="D25" i="10"/>
  <c r="E25" i="10"/>
  <c r="C26" i="10"/>
  <c r="D26" i="10"/>
  <c r="E26" i="10"/>
  <c r="D20" i="10"/>
  <c r="E20" i="10"/>
  <c r="C9" i="10"/>
  <c r="D9" i="10"/>
  <c r="E9" i="10"/>
  <c r="C10" i="10"/>
  <c r="D10" i="10"/>
  <c r="E10" i="10"/>
  <c r="C11" i="10"/>
  <c r="D11" i="10"/>
  <c r="E11" i="10"/>
  <c r="C12" i="10"/>
  <c r="D12" i="10"/>
  <c r="E12" i="10"/>
  <c r="C13" i="10"/>
  <c r="D13" i="10"/>
  <c r="E13" i="10"/>
  <c r="C14" i="10"/>
  <c r="D14" i="10"/>
  <c r="E14" i="10"/>
  <c r="D8" i="10"/>
  <c r="E8" i="10"/>
  <c r="C8" i="10"/>
  <c r="C20" i="10"/>
  <c r="C32" i="10"/>
  <c r="C44" i="10"/>
  <c r="C68" i="10"/>
  <c r="C80" i="10"/>
  <c r="C93" i="10"/>
  <c r="D181" i="7"/>
  <c r="E181" i="7"/>
  <c r="F181" i="7"/>
  <c r="G181" i="7"/>
  <c r="H181" i="7"/>
  <c r="I181" i="7"/>
  <c r="J181" i="7"/>
  <c r="K181" i="7"/>
  <c r="L181" i="7"/>
  <c r="M181" i="7"/>
  <c r="N181" i="7"/>
  <c r="O181" i="7"/>
  <c r="O181" i="10" s="1"/>
  <c r="P181" i="7"/>
  <c r="P181" i="10" s="1"/>
  <c r="C181" i="7"/>
  <c r="Q110" i="7"/>
  <c r="O107" i="7"/>
  <c r="P107" i="7"/>
  <c r="Q107" i="7" s="1"/>
  <c r="O108" i="7"/>
  <c r="P108" i="7"/>
  <c r="Q108" i="7" s="1"/>
  <c r="O109" i="7"/>
  <c r="Q109" i="7" s="1"/>
  <c r="P109" i="7"/>
  <c r="O110" i="7"/>
  <c r="P110" i="7"/>
  <c r="O111" i="7"/>
  <c r="P111" i="7"/>
  <c r="O112" i="7"/>
  <c r="P112" i="7"/>
  <c r="Q112" i="7" s="1"/>
  <c r="P106" i="7"/>
  <c r="O106" i="7"/>
  <c r="D113" i="7"/>
  <c r="E113" i="7"/>
  <c r="F113" i="7"/>
  <c r="G113" i="7"/>
  <c r="H113" i="7"/>
  <c r="I113" i="7"/>
  <c r="J113" i="7"/>
  <c r="K113" i="7"/>
  <c r="L113" i="7"/>
  <c r="M113" i="7"/>
  <c r="N113" i="7"/>
  <c r="C113" i="7"/>
  <c r="I94" i="7"/>
  <c r="I95" i="7"/>
  <c r="I96" i="7"/>
  <c r="I97" i="7"/>
  <c r="I98" i="7"/>
  <c r="I99" i="7"/>
  <c r="I93" i="7"/>
  <c r="D100" i="7"/>
  <c r="E100" i="7"/>
  <c r="F100" i="7"/>
  <c r="G100" i="7"/>
  <c r="H100" i="7"/>
  <c r="C100" i="7"/>
  <c r="M81" i="7"/>
  <c r="K81" i="7"/>
  <c r="L81" i="7"/>
  <c r="K82" i="7"/>
  <c r="L82" i="7"/>
  <c r="M82" i="7" s="1"/>
  <c r="K83" i="7"/>
  <c r="L83" i="7"/>
  <c r="M83" i="7" s="1"/>
  <c r="L84" i="7"/>
  <c r="K85" i="7"/>
  <c r="L85" i="7"/>
  <c r="M85" i="7" s="1"/>
  <c r="K86" i="7"/>
  <c r="L86" i="7"/>
  <c r="M86" i="7" s="1"/>
  <c r="L80" i="7"/>
  <c r="M80" i="7" s="1"/>
  <c r="K80" i="7"/>
  <c r="D75" i="7"/>
  <c r="E75" i="7"/>
  <c r="F75" i="7"/>
  <c r="G75" i="7"/>
  <c r="H75" i="7"/>
  <c r="I75" i="7"/>
  <c r="J75" i="7"/>
  <c r="K75" i="7"/>
  <c r="L75" i="7"/>
  <c r="M75" i="7"/>
  <c r="N75" i="7"/>
  <c r="C75" i="7"/>
  <c r="O69" i="7"/>
  <c r="P69" i="7"/>
  <c r="Q69" i="7" s="1"/>
  <c r="O70" i="7"/>
  <c r="P70" i="7"/>
  <c r="Q70" i="7" s="1"/>
  <c r="O71" i="7"/>
  <c r="P71" i="7"/>
  <c r="Q71" i="7" s="1"/>
  <c r="O72" i="7"/>
  <c r="P72" i="7"/>
  <c r="Q72" i="7" s="1"/>
  <c r="O73" i="7"/>
  <c r="P73" i="7"/>
  <c r="Q73" i="7" s="1"/>
  <c r="O74" i="7"/>
  <c r="P74" i="7"/>
  <c r="Q74" i="7" s="1"/>
  <c r="P68" i="7"/>
  <c r="Q68" i="7" s="1"/>
  <c r="O68" i="7"/>
  <c r="I62" i="7"/>
  <c r="I57" i="7"/>
  <c r="I58" i="7"/>
  <c r="I59" i="7"/>
  <c r="I60" i="7"/>
  <c r="I61" i="7"/>
  <c r="I56" i="7"/>
  <c r="D63" i="7"/>
  <c r="E63" i="7"/>
  <c r="F63" i="7"/>
  <c r="G63" i="7"/>
  <c r="C63" i="7"/>
  <c r="M45" i="7"/>
  <c r="N45" i="7"/>
  <c r="M46" i="7"/>
  <c r="N46" i="7"/>
  <c r="M47" i="7"/>
  <c r="N47" i="7"/>
  <c r="M48" i="7"/>
  <c r="N48" i="7"/>
  <c r="M49" i="7"/>
  <c r="N49" i="7"/>
  <c r="M50" i="7"/>
  <c r="N50" i="7"/>
  <c r="N44" i="7"/>
  <c r="M44" i="7"/>
  <c r="D51" i="7"/>
  <c r="E51" i="7"/>
  <c r="F51" i="7"/>
  <c r="G51" i="7"/>
  <c r="H51" i="7"/>
  <c r="I51" i="7"/>
  <c r="J51" i="7"/>
  <c r="K51" i="7"/>
  <c r="L51" i="7"/>
  <c r="O51" i="7"/>
  <c r="C51" i="7"/>
  <c r="I33" i="7"/>
  <c r="J33" i="7"/>
  <c r="K33" i="7" s="1"/>
  <c r="I34" i="7"/>
  <c r="J34" i="7"/>
  <c r="I35" i="7"/>
  <c r="J35" i="7"/>
  <c r="I36" i="7"/>
  <c r="J36" i="7"/>
  <c r="I37" i="7"/>
  <c r="J37" i="7"/>
  <c r="I38" i="7"/>
  <c r="J38" i="7"/>
  <c r="K38" i="7" s="1"/>
  <c r="J32" i="7"/>
  <c r="I32" i="7"/>
  <c r="D39" i="7"/>
  <c r="E39" i="7"/>
  <c r="F39" i="7"/>
  <c r="G39" i="7"/>
  <c r="H39" i="7"/>
  <c r="C39" i="7"/>
  <c r="D27" i="7"/>
  <c r="E27" i="7"/>
  <c r="F27" i="7"/>
  <c r="C27" i="7"/>
  <c r="D15" i="7"/>
  <c r="E15" i="7"/>
  <c r="F15" i="7"/>
  <c r="C15" i="7"/>
  <c r="D181" i="6"/>
  <c r="E181" i="6"/>
  <c r="F181" i="6"/>
  <c r="G181" i="6"/>
  <c r="H181" i="6"/>
  <c r="I181" i="6"/>
  <c r="J181" i="6"/>
  <c r="K181" i="6"/>
  <c r="L181" i="6"/>
  <c r="M181" i="6"/>
  <c r="N181" i="6"/>
  <c r="C181" i="6"/>
  <c r="P106" i="6"/>
  <c r="P107" i="6"/>
  <c r="P108" i="6"/>
  <c r="P109" i="6"/>
  <c r="P110" i="6"/>
  <c r="P111" i="6"/>
  <c r="P112" i="6"/>
  <c r="O107" i="6"/>
  <c r="O108" i="6"/>
  <c r="O109" i="6"/>
  <c r="O110" i="6"/>
  <c r="O111" i="6"/>
  <c r="Q111" i="6" s="1"/>
  <c r="O112" i="6"/>
  <c r="O106" i="6"/>
  <c r="D113" i="6"/>
  <c r="E113" i="6"/>
  <c r="F113" i="6"/>
  <c r="G113" i="6"/>
  <c r="H113" i="6"/>
  <c r="I113" i="6"/>
  <c r="J113" i="6"/>
  <c r="K113" i="6"/>
  <c r="L113" i="6"/>
  <c r="M113" i="6"/>
  <c r="N113" i="6"/>
  <c r="C113" i="6"/>
  <c r="I94" i="6"/>
  <c r="I95" i="6"/>
  <c r="I96" i="6"/>
  <c r="I97" i="6"/>
  <c r="I98" i="6"/>
  <c r="I99" i="6"/>
  <c r="I93" i="6"/>
  <c r="D100" i="6"/>
  <c r="E100" i="6"/>
  <c r="F100" i="6"/>
  <c r="G100" i="6"/>
  <c r="H100" i="6"/>
  <c r="C100" i="6"/>
  <c r="K81" i="6"/>
  <c r="L81" i="6"/>
  <c r="M81" i="6" s="1"/>
  <c r="K82" i="6"/>
  <c r="L82" i="6"/>
  <c r="M82" i="6" s="1"/>
  <c r="K83" i="6"/>
  <c r="L83" i="6"/>
  <c r="M83" i="6" s="1"/>
  <c r="L84" i="6"/>
  <c r="K85" i="6"/>
  <c r="L85" i="6"/>
  <c r="L86" i="6"/>
  <c r="L80" i="6"/>
  <c r="K80" i="6"/>
  <c r="D87" i="6"/>
  <c r="E87" i="6"/>
  <c r="F87" i="6"/>
  <c r="H87" i="6"/>
  <c r="I87" i="6"/>
  <c r="J87" i="6"/>
  <c r="C87" i="6"/>
  <c r="D75" i="6"/>
  <c r="E75" i="6"/>
  <c r="F75" i="6"/>
  <c r="G75" i="6"/>
  <c r="I75" i="6"/>
  <c r="J75" i="6"/>
  <c r="K75" i="6"/>
  <c r="L75" i="6"/>
  <c r="M75" i="6"/>
  <c r="N75" i="6"/>
  <c r="C75" i="6"/>
  <c r="I57" i="6"/>
  <c r="I58" i="6"/>
  <c r="I59" i="6"/>
  <c r="I60" i="6"/>
  <c r="I61" i="6"/>
  <c r="I62" i="6"/>
  <c r="I56" i="6"/>
  <c r="C63" i="6"/>
  <c r="D51" i="6"/>
  <c r="E51" i="6"/>
  <c r="F51" i="6"/>
  <c r="G51" i="6"/>
  <c r="H51" i="6"/>
  <c r="I51" i="6"/>
  <c r="J51" i="6"/>
  <c r="K51" i="6"/>
  <c r="L51" i="6"/>
  <c r="C51" i="6"/>
  <c r="D39" i="6"/>
  <c r="E39" i="6"/>
  <c r="F39" i="6"/>
  <c r="G39" i="6"/>
  <c r="H39" i="6"/>
  <c r="J39" i="6"/>
  <c r="K39" i="6"/>
  <c r="C39" i="6"/>
  <c r="F21" i="6"/>
  <c r="F22" i="6"/>
  <c r="F23" i="6"/>
  <c r="F24" i="6"/>
  <c r="F25" i="6"/>
  <c r="F26" i="6"/>
  <c r="F20" i="6"/>
  <c r="D27" i="6"/>
  <c r="E27" i="6"/>
  <c r="C27" i="6"/>
  <c r="F9" i="6"/>
  <c r="F10" i="6"/>
  <c r="F11" i="6"/>
  <c r="F12" i="6"/>
  <c r="F13" i="6"/>
  <c r="F14" i="6"/>
  <c r="F8" i="6"/>
  <c r="D15" i="6"/>
  <c r="E15" i="6"/>
  <c r="C15" i="6"/>
  <c r="D181" i="5"/>
  <c r="E181" i="5"/>
  <c r="F181" i="5"/>
  <c r="G181" i="5"/>
  <c r="H181" i="5"/>
  <c r="I181" i="5"/>
  <c r="J181" i="5"/>
  <c r="K181" i="5"/>
  <c r="L181" i="5"/>
  <c r="M181" i="5"/>
  <c r="N181" i="5"/>
  <c r="C181" i="5"/>
  <c r="D113" i="5"/>
  <c r="E113" i="5"/>
  <c r="F113" i="5"/>
  <c r="G113" i="5"/>
  <c r="H113" i="5"/>
  <c r="I113" i="5"/>
  <c r="J113" i="5"/>
  <c r="K113" i="5"/>
  <c r="L113" i="5"/>
  <c r="M113" i="5"/>
  <c r="N113" i="5"/>
  <c r="C113" i="5"/>
  <c r="I94" i="5"/>
  <c r="I95" i="5"/>
  <c r="I96" i="5"/>
  <c r="I97" i="5"/>
  <c r="I98" i="5"/>
  <c r="I99" i="5"/>
  <c r="I93" i="5"/>
  <c r="D100" i="5"/>
  <c r="E100" i="5"/>
  <c r="F100" i="5"/>
  <c r="G100" i="5"/>
  <c r="H100" i="5"/>
  <c r="M82" i="5"/>
  <c r="M83" i="5"/>
  <c r="M80" i="5"/>
  <c r="K81" i="5"/>
  <c r="L81" i="5"/>
  <c r="M81" i="5" s="1"/>
  <c r="K82" i="5"/>
  <c r="L82" i="5"/>
  <c r="K83" i="5"/>
  <c r="L83" i="5"/>
  <c r="L84" i="5"/>
  <c r="K85" i="5"/>
  <c r="L85" i="5"/>
  <c r="M85" i="5" s="1"/>
  <c r="L86" i="5"/>
  <c r="L80" i="5"/>
  <c r="K80" i="5"/>
  <c r="D87" i="5"/>
  <c r="E87" i="5"/>
  <c r="F87" i="5"/>
  <c r="H87" i="5"/>
  <c r="I87" i="5"/>
  <c r="J87" i="5"/>
  <c r="C87" i="5"/>
  <c r="O69" i="5"/>
  <c r="P69" i="5"/>
  <c r="Q69" i="5" s="1"/>
  <c r="O70" i="5"/>
  <c r="P70" i="5"/>
  <c r="O71" i="5"/>
  <c r="P71" i="5"/>
  <c r="Q71" i="5" s="1"/>
  <c r="O72" i="5"/>
  <c r="P72" i="5"/>
  <c r="Q72" i="5" s="1"/>
  <c r="O73" i="5"/>
  <c r="P73" i="5"/>
  <c r="Q73" i="5" s="1"/>
  <c r="O74" i="5"/>
  <c r="P74" i="5"/>
  <c r="Q74" i="5" s="1"/>
  <c r="P68" i="5"/>
  <c r="O68" i="5"/>
  <c r="D75" i="5"/>
  <c r="E75" i="5"/>
  <c r="F75" i="5"/>
  <c r="G75" i="5"/>
  <c r="H75" i="5"/>
  <c r="I75" i="5"/>
  <c r="J75" i="5"/>
  <c r="K75" i="5"/>
  <c r="L75" i="5"/>
  <c r="M75" i="5"/>
  <c r="N75" i="5"/>
  <c r="C75" i="5"/>
  <c r="I57" i="5"/>
  <c r="I58" i="5"/>
  <c r="I59" i="5"/>
  <c r="I60" i="5"/>
  <c r="I61" i="5"/>
  <c r="I62" i="5"/>
  <c r="D63" i="5"/>
  <c r="E63" i="5"/>
  <c r="F63" i="5"/>
  <c r="G63" i="5"/>
  <c r="H63" i="5"/>
  <c r="C63" i="5"/>
  <c r="M45" i="5"/>
  <c r="N45" i="5"/>
  <c r="M46" i="5"/>
  <c r="N46" i="5"/>
  <c r="M47" i="5"/>
  <c r="N47" i="5"/>
  <c r="O47" i="5" s="1"/>
  <c r="M48" i="5"/>
  <c r="N48" i="5"/>
  <c r="O48" i="5" s="1"/>
  <c r="M49" i="5"/>
  <c r="N49" i="5"/>
  <c r="O49" i="5" s="1"/>
  <c r="M50" i="5"/>
  <c r="N50" i="5"/>
  <c r="O50" i="5" s="1"/>
  <c r="N44" i="5"/>
  <c r="M44" i="5"/>
  <c r="O45" i="5"/>
  <c r="K35" i="5"/>
  <c r="I33" i="5"/>
  <c r="J33" i="5"/>
  <c r="K33" i="5" s="1"/>
  <c r="I34" i="5"/>
  <c r="J34" i="5"/>
  <c r="K34" i="5" s="1"/>
  <c r="I35" i="5"/>
  <c r="J35" i="5"/>
  <c r="I36" i="5"/>
  <c r="J36" i="5"/>
  <c r="K36" i="5" s="1"/>
  <c r="I37" i="5"/>
  <c r="J37" i="5"/>
  <c r="K37" i="5" s="1"/>
  <c r="I38" i="5"/>
  <c r="J38" i="5"/>
  <c r="K38" i="5" s="1"/>
  <c r="J32" i="5"/>
  <c r="I32" i="5"/>
  <c r="D39" i="5"/>
  <c r="E39" i="5"/>
  <c r="F39" i="5"/>
  <c r="G39" i="5"/>
  <c r="H39" i="5"/>
  <c r="C39" i="5"/>
  <c r="F20" i="5"/>
  <c r="F21" i="5"/>
  <c r="C27" i="5"/>
  <c r="F8" i="5"/>
  <c r="F15" i="5" s="1"/>
  <c r="F9" i="5"/>
  <c r="F10" i="5"/>
  <c r="F11" i="5"/>
  <c r="F12" i="5"/>
  <c r="F13" i="5"/>
  <c r="F14" i="5"/>
  <c r="D15" i="5"/>
  <c r="E15" i="5"/>
  <c r="C15" i="5"/>
  <c r="D182" i="1"/>
  <c r="E182" i="1"/>
  <c r="E181" i="10" s="1"/>
  <c r="F182" i="1"/>
  <c r="F181" i="10" s="1"/>
  <c r="G182" i="1"/>
  <c r="H182" i="1"/>
  <c r="I182" i="1"/>
  <c r="J182" i="1"/>
  <c r="K182" i="1"/>
  <c r="L182" i="1"/>
  <c r="M182" i="1"/>
  <c r="N182" i="1"/>
  <c r="C182" i="1"/>
  <c r="P108" i="1"/>
  <c r="P109" i="1"/>
  <c r="P110" i="1"/>
  <c r="P111" i="1"/>
  <c r="P112" i="1"/>
  <c r="P113" i="1"/>
  <c r="P107" i="1"/>
  <c r="O107" i="1"/>
  <c r="D114" i="1"/>
  <c r="E114" i="1"/>
  <c r="F114" i="1"/>
  <c r="G114" i="1"/>
  <c r="H114" i="1"/>
  <c r="I114" i="1"/>
  <c r="J114" i="1"/>
  <c r="K114" i="1"/>
  <c r="L114" i="1"/>
  <c r="M114" i="1"/>
  <c r="N114" i="1"/>
  <c r="C114" i="1"/>
  <c r="I95" i="1"/>
  <c r="I96" i="1"/>
  <c r="I97" i="1"/>
  <c r="I98" i="1"/>
  <c r="I99" i="1"/>
  <c r="I100" i="1"/>
  <c r="I94" i="1"/>
  <c r="I101" i="1" s="1"/>
  <c r="D101" i="1"/>
  <c r="E101" i="1"/>
  <c r="F101" i="1"/>
  <c r="G101" i="1"/>
  <c r="H101" i="1"/>
  <c r="L81" i="1"/>
  <c r="L82" i="1"/>
  <c r="L83" i="1"/>
  <c r="L84" i="1"/>
  <c r="L85" i="1"/>
  <c r="L86" i="1"/>
  <c r="L87" i="1"/>
  <c r="K82" i="1"/>
  <c r="K83" i="1"/>
  <c r="K84" i="1"/>
  <c r="K85" i="1"/>
  <c r="K86" i="1"/>
  <c r="K87" i="1"/>
  <c r="K81" i="1"/>
  <c r="D88" i="1"/>
  <c r="E88" i="1"/>
  <c r="F88" i="1"/>
  <c r="G88" i="1"/>
  <c r="H88" i="1"/>
  <c r="I88" i="1"/>
  <c r="J88" i="1"/>
  <c r="C88" i="1"/>
  <c r="O70" i="1"/>
  <c r="P70" i="1"/>
  <c r="Q70" i="1" s="1"/>
  <c r="O71" i="1"/>
  <c r="P71" i="1"/>
  <c r="O72" i="1"/>
  <c r="P72" i="1"/>
  <c r="Q72" i="1" s="1"/>
  <c r="O73" i="1"/>
  <c r="P73" i="1"/>
  <c r="Q73" i="1" s="1"/>
  <c r="O74" i="1"/>
  <c r="P74" i="1"/>
  <c r="O75" i="1"/>
  <c r="P75" i="1"/>
  <c r="P69" i="1"/>
  <c r="O69" i="1"/>
  <c r="J33" i="1"/>
  <c r="J34" i="1"/>
  <c r="J35" i="1"/>
  <c r="J36" i="1"/>
  <c r="J37" i="1"/>
  <c r="J38" i="1"/>
  <c r="J39" i="1"/>
  <c r="I34" i="1"/>
  <c r="I35" i="1"/>
  <c r="I36" i="1"/>
  <c r="I37" i="1"/>
  <c r="I38" i="1"/>
  <c r="I39" i="1"/>
  <c r="N45" i="1"/>
  <c r="N46" i="1"/>
  <c r="N47" i="1"/>
  <c r="O47" i="1" s="1"/>
  <c r="N48" i="1"/>
  <c r="O48" i="1" s="1"/>
  <c r="N49" i="1"/>
  <c r="O49" i="1" s="1"/>
  <c r="N50" i="1"/>
  <c r="N51" i="1"/>
  <c r="M46" i="1"/>
  <c r="M47" i="1"/>
  <c r="M48" i="1"/>
  <c r="M49" i="1"/>
  <c r="M50" i="1"/>
  <c r="M51" i="1"/>
  <c r="M45" i="1"/>
  <c r="D52" i="1"/>
  <c r="E52" i="1"/>
  <c r="F52" i="1"/>
  <c r="G52" i="1"/>
  <c r="H52" i="1"/>
  <c r="I52" i="1"/>
  <c r="J52" i="1"/>
  <c r="K52" i="1"/>
  <c r="L52" i="1"/>
  <c r="C52" i="1"/>
  <c r="D40" i="1"/>
  <c r="E40" i="1"/>
  <c r="F40" i="1"/>
  <c r="G40" i="1"/>
  <c r="H40" i="1"/>
  <c r="C40" i="1"/>
  <c r="D28" i="1"/>
  <c r="E28" i="1"/>
  <c r="F28" i="1"/>
  <c r="C28" i="1"/>
  <c r="D16" i="1"/>
  <c r="E16" i="1"/>
  <c r="F16" i="1"/>
  <c r="C16" i="1"/>
  <c r="G86" i="6"/>
  <c r="G84" i="6"/>
  <c r="G87" i="6" s="1"/>
  <c r="D63" i="6"/>
  <c r="E63" i="6"/>
  <c r="F63" i="6"/>
  <c r="G63" i="6"/>
  <c r="H63" i="6"/>
  <c r="M33" i="6"/>
  <c r="M34" i="6"/>
  <c r="M35" i="6"/>
  <c r="M36" i="6"/>
  <c r="M37" i="6"/>
  <c r="M38" i="6"/>
  <c r="M32" i="6"/>
  <c r="I33" i="6"/>
  <c r="I34" i="6"/>
  <c r="I35" i="6"/>
  <c r="I36" i="6"/>
  <c r="I37" i="6"/>
  <c r="I38" i="6"/>
  <c r="I32" i="6"/>
  <c r="R120" i="1" l="1"/>
  <c r="E164" i="6"/>
  <c r="Q119" i="5"/>
  <c r="Q119" i="6"/>
  <c r="R119" i="6" s="1"/>
  <c r="C181" i="10"/>
  <c r="O44" i="5"/>
  <c r="F169" i="10"/>
  <c r="E169" i="10"/>
  <c r="R128" i="5"/>
  <c r="M166" i="10"/>
  <c r="P124" i="5"/>
  <c r="F155" i="10"/>
  <c r="L181" i="10"/>
  <c r="N168" i="10"/>
  <c r="K165" i="10"/>
  <c r="G125" i="10"/>
  <c r="K181" i="10"/>
  <c r="M168" i="10"/>
  <c r="R156" i="5"/>
  <c r="D164" i="5"/>
  <c r="M85" i="1"/>
  <c r="Q107" i="1"/>
  <c r="J181" i="10"/>
  <c r="F113" i="10"/>
  <c r="I63" i="5"/>
  <c r="M169" i="10"/>
  <c r="L168" i="10"/>
  <c r="K167" i="10"/>
  <c r="J166" i="10"/>
  <c r="I165" i="10"/>
  <c r="Q124" i="5"/>
  <c r="R124" i="5" s="1"/>
  <c r="R125" i="10" s="1"/>
  <c r="P168" i="5"/>
  <c r="P169" i="10" s="1"/>
  <c r="E130" i="10"/>
  <c r="O46" i="5"/>
  <c r="D167" i="10"/>
  <c r="E166" i="10"/>
  <c r="D181" i="10"/>
  <c r="O113" i="7"/>
  <c r="F168" i="10"/>
  <c r="Q134" i="5"/>
  <c r="R134" i="5" s="1"/>
  <c r="Q119" i="7"/>
  <c r="Q120" i="10" s="1"/>
  <c r="O75" i="7"/>
  <c r="E168" i="10"/>
  <c r="D125" i="10"/>
  <c r="Q169" i="1"/>
  <c r="M165" i="10"/>
  <c r="M181" i="10"/>
  <c r="L165" i="10"/>
  <c r="R161" i="5"/>
  <c r="P154" i="5"/>
  <c r="P155" i="10" s="1"/>
  <c r="D155" i="10"/>
  <c r="M167" i="10"/>
  <c r="N169" i="10"/>
  <c r="J165" i="10"/>
  <c r="I181" i="10"/>
  <c r="D160" i="10"/>
  <c r="Q121" i="10"/>
  <c r="L169" i="10"/>
  <c r="K168" i="10"/>
  <c r="J167" i="10"/>
  <c r="I166" i="10"/>
  <c r="H165" i="10"/>
  <c r="Q168" i="5"/>
  <c r="D166" i="10"/>
  <c r="E167" i="10"/>
  <c r="N181" i="10"/>
  <c r="Q106" i="7"/>
  <c r="R123" i="1"/>
  <c r="N167" i="10"/>
  <c r="R148" i="5"/>
  <c r="P164" i="7"/>
  <c r="O169" i="10"/>
  <c r="L166" i="10"/>
  <c r="Q154" i="5"/>
  <c r="R154" i="5" s="1"/>
  <c r="G155" i="10"/>
  <c r="L167" i="10"/>
  <c r="H181" i="10"/>
  <c r="I39" i="5"/>
  <c r="K169" i="10"/>
  <c r="J168" i="10"/>
  <c r="I167" i="10"/>
  <c r="H166" i="10"/>
  <c r="P133" i="10"/>
  <c r="Q68" i="5"/>
  <c r="Q75" i="5" s="1"/>
  <c r="G164" i="7"/>
  <c r="K166" i="10"/>
  <c r="G181" i="10"/>
  <c r="K32" i="5"/>
  <c r="K35" i="7"/>
  <c r="I63" i="7"/>
  <c r="Q68" i="6"/>
  <c r="Q167" i="1"/>
  <c r="Q168" i="1"/>
  <c r="D169" i="10"/>
  <c r="J169" i="10"/>
  <c r="I168" i="10"/>
  <c r="H167" i="10"/>
  <c r="G166" i="10"/>
  <c r="Q133" i="10"/>
  <c r="P119" i="5"/>
  <c r="P120" i="10" s="1"/>
  <c r="D135" i="10"/>
  <c r="D164" i="6"/>
  <c r="S182" i="1"/>
  <c r="S181" i="10" s="1"/>
  <c r="R131" i="1"/>
  <c r="P165" i="6"/>
  <c r="R160" i="5"/>
  <c r="R120" i="5"/>
  <c r="R161" i="1"/>
  <c r="R166" i="1" s="1"/>
  <c r="P161" i="10"/>
  <c r="Q166" i="1"/>
  <c r="Q166" i="10" s="1"/>
  <c r="P166" i="1"/>
  <c r="P166" i="10" s="1"/>
  <c r="R127" i="1"/>
  <c r="R122" i="1"/>
  <c r="P167" i="1"/>
  <c r="R168" i="1"/>
  <c r="P141" i="10"/>
  <c r="R145" i="5"/>
  <c r="R144" i="5"/>
  <c r="P167" i="5"/>
  <c r="P168" i="10" s="1"/>
  <c r="Q167" i="5"/>
  <c r="R122" i="7"/>
  <c r="R128" i="7"/>
  <c r="Q134" i="7"/>
  <c r="R134" i="7" s="1"/>
  <c r="R140" i="7"/>
  <c r="R146" i="7"/>
  <c r="R152" i="7"/>
  <c r="R158" i="7"/>
  <c r="F164" i="7"/>
  <c r="F120" i="10"/>
  <c r="R123" i="7"/>
  <c r="R129" i="7"/>
  <c r="R135" i="7"/>
  <c r="R141" i="7"/>
  <c r="R147" i="7"/>
  <c r="R153" i="7"/>
  <c r="R124" i="7"/>
  <c r="R130" i="7"/>
  <c r="R136" i="7"/>
  <c r="R142" i="7"/>
  <c r="R148" i="7"/>
  <c r="R154" i="7"/>
  <c r="R160" i="7"/>
  <c r="P166" i="7"/>
  <c r="R125" i="7"/>
  <c r="R131" i="7"/>
  <c r="R137" i="7"/>
  <c r="R143" i="7"/>
  <c r="R149" i="7"/>
  <c r="R150" i="10" s="1"/>
  <c r="R155" i="7"/>
  <c r="R156" i="10" s="1"/>
  <c r="Q166" i="7"/>
  <c r="P167" i="7"/>
  <c r="R120" i="7"/>
  <c r="R126" i="7"/>
  <c r="R132" i="7"/>
  <c r="R144" i="7"/>
  <c r="R150" i="7"/>
  <c r="R156" i="7"/>
  <c r="R162" i="7"/>
  <c r="P168" i="7"/>
  <c r="R121" i="7"/>
  <c r="R133" i="7"/>
  <c r="R134" i="10" s="1"/>
  <c r="R139" i="7"/>
  <c r="Q165" i="7"/>
  <c r="R151" i="7"/>
  <c r="R157" i="7"/>
  <c r="Q168" i="7"/>
  <c r="R124" i="6"/>
  <c r="R127" i="6"/>
  <c r="R145" i="6"/>
  <c r="Q168" i="6"/>
  <c r="P134" i="6"/>
  <c r="P135" i="10" s="1"/>
  <c r="R128" i="6"/>
  <c r="R129" i="10" s="1"/>
  <c r="R152" i="6"/>
  <c r="Q141" i="10"/>
  <c r="R123" i="6"/>
  <c r="R141" i="6"/>
  <c r="R147" i="6"/>
  <c r="P129" i="10"/>
  <c r="P140" i="10"/>
  <c r="R130" i="6"/>
  <c r="R142" i="6"/>
  <c r="R160" i="6"/>
  <c r="Q137" i="10"/>
  <c r="P166" i="6"/>
  <c r="Q129" i="10"/>
  <c r="R125" i="6"/>
  <c r="R131" i="6"/>
  <c r="R137" i="6"/>
  <c r="R143" i="6"/>
  <c r="R149" i="6"/>
  <c r="R155" i="6"/>
  <c r="Q166" i="6"/>
  <c r="R133" i="6"/>
  <c r="R151" i="6"/>
  <c r="P153" i="10"/>
  <c r="R140" i="6"/>
  <c r="R141" i="10" s="1"/>
  <c r="Q153" i="10"/>
  <c r="R129" i="6"/>
  <c r="P167" i="6"/>
  <c r="P168" i="6"/>
  <c r="P152" i="10"/>
  <c r="R121" i="6"/>
  <c r="R139" i="6"/>
  <c r="R157" i="6"/>
  <c r="R122" i="6"/>
  <c r="Q134" i="6"/>
  <c r="R135" i="6"/>
  <c r="R153" i="6"/>
  <c r="R154" i="10" s="1"/>
  <c r="P128" i="10"/>
  <c r="P137" i="10"/>
  <c r="R136" i="6"/>
  <c r="R148" i="6"/>
  <c r="Q154" i="6"/>
  <c r="R154" i="6" s="1"/>
  <c r="Q128" i="10"/>
  <c r="Q161" i="10"/>
  <c r="R120" i="6"/>
  <c r="R126" i="6"/>
  <c r="R132" i="6"/>
  <c r="R138" i="6"/>
  <c r="R144" i="6"/>
  <c r="R150" i="6"/>
  <c r="R156" i="6"/>
  <c r="Q167" i="6"/>
  <c r="R135" i="5"/>
  <c r="R130" i="5"/>
  <c r="Q157" i="10"/>
  <c r="R131" i="5"/>
  <c r="R147" i="5"/>
  <c r="R158" i="5"/>
  <c r="P121" i="10"/>
  <c r="G135" i="10"/>
  <c r="R121" i="5"/>
  <c r="R137" i="5"/>
  <c r="R138" i="10" s="1"/>
  <c r="R153" i="5"/>
  <c r="F164" i="5"/>
  <c r="F165" i="10" s="1"/>
  <c r="R132" i="5"/>
  <c r="G164" i="5"/>
  <c r="G165" i="10" s="1"/>
  <c r="R122" i="5"/>
  <c r="G120" i="10"/>
  <c r="F125" i="10"/>
  <c r="P164" i="10"/>
  <c r="R133" i="5"/>
  <c r="R149" i="5"/>
  <c r="R129" i="5"/>
  <c r="R140" i="5"/>
  <c r="R151" i="5"/>
  <c r="R146" i="5"/>
  <c r="R125" i="5"/>
  <c r="R141" i="5"/>
  <c r="R157" i="5"/>
  <c r="R136" i="5"/>
  <c r="R152" i="5"/>
  <c r="R126" i="5"/>
  <c r="R142" i="5"/>
  <c r="F135" i="10"/>
  <c r="R127" i="5"/>
  <c r="R143" i="5"/>
  <c r="R138" i="5"/>
  <c r="Q149" i="10"/>
  <c r="Q164" i="10"/>
  <c r="R123" i="5"/>
  <c r="R139" i="5"/>
  <c r="R155" i="5"/>
  <c r="E135" i="10"/>
  <c r="P149" i="10"/>
  <c r="P165" i="5"/>
  <c r="R150" i="5"/>
  <c r="P166" i="5"/>
  <c r="R160" i="1"/>
  <c r="D165" i="1"/>
  <c r="D165" i="10" s="1"/>
  <c r="R155" i="1"/>
  <c r="P145" i="10"/>
  <c r="R140" i="1"/>
  <c r="E165" i="1"/>
  <c r="E165" i="10" s="1"/>
  <c r="Q135" i="1"/>
  <c r="R135" i="1"/>
  <c r="Q165" i="1"/>
  <c r="R125" i="1"/>
  <c r="P125" i="10"/>
  <c r="P165" i="1"/>
  <c r="D120" i="10"/>
  <c r="R145" i="7"/>
  <c r="R161" i="7"/>
  <c r="Q147" i="10"/>
  <c r="Q167" i="7"/>
  <c r="R127" i="7"/>
  <c r="R163" i="7"/>
  <c r="R138" i="7"/>
  <c r="R159" i="7"/>
  <c r="Q159" i="10"/>
  <c r="Q165" i="6"/>
  <c r="R161" i="6"/>
  <c r="R158" i="6"/>
  <c r="R162" i="6"/>
  <c r="R134" i="6"/>
  <c r="R146" i="6"/>
  <c r="R159" i="6"/>
  <c r="R163" i="6"/>
  <c r="Q151" i="10"/>
  <c r="Q165" i="5"/>
  <c r="Q130" i="10"/>
  <c r="R159" i="5"/>
  <c r="R163" i="5"/>
  <c r="Q166" i="5"/>
  <c r="R162" i="5"/>
  <c r="Q154" i="10"/>
  <c r="P146" i="10"/>
  <c r="Q134" i="10"/>
  <c r="P159" i="10"/>
  <c r="P130" i="10"/>
  <c r="P148" i="10"/>
  <c r="Q124" i="10"/>
  <c r="Q136" i="10"/>
  <c r="Q148" i="10"/>
  <c r="Q160" i="10"/>
  <c r="P134" i="10"/>
  <c r="P158" i="10"/>
  <c r="P162" i="10"/>
  <c r="P147" i="10"/>
  <c r="P154" i="10"/>
  <c r="P136" i="10"/>
  <c r="Q162" i="10"/>
  <c r="P124" i="10"/>
  <c r="P127" i="10"/>
  <c r="P139" i="10"/>
  <c r="P151" i="10"/>
  <c r="P142" i="10"/>
  <c r="Q123" i="10"/>
  <c r="Q146" i="10"/>
  <c r="P131" i="10"/>
  <c r="Q131" i="10"/>
  <c r="P132" i="10"/>
  <c r="P144" i="10"/>
  <c r="P156" i="10"/>
  <c r="Q132" i="10"/>
  <c r="Q156" i="10"/>
  <c r="P163" i="10"/>
  <c r="P143" i="10"/>
  <c r="P126" i="10"/>
  <c r="P138" i="10"/>
  <c r="P150" i="10"/>
  <c r="Q145" i="10"/>
  <c r="Q138" i="10"/>
  <c r="Q158" i="10"/>
  <c r="Q143" i="10"/>
  <c r="Q150" i="10"/>
  <c r="Q122" i="10"/>
  <c r="Q142" i="10"/>
  <c r="P122" i="10"/>
  <c r="Q126" i="10"/>
  <c r="P123" i="10"/>
  <c r="Q127" i="10"/>
  <c r="Q152" i="10"/>
  <c r="Q144" i="10"/>
  <c r="Q140" i="10"/>
  <c r="Q71" i="1"/>
  <c r="M52" i="1"/>
  <c r="O51" i="1"/>
  <c r="O46" i="1"/>
  <c r="M81" i="1"/>
  <c r="K39" i="1"/>
  <c r="K38" i="1"/>
  <c r="M84" i="1"/>
  <c r="Q69" i="1"/>
  <c r="M83" i="1"/>
  <c r="K36" i="1"/>
  <c r="Q75" i="1"/>
  <c r="M82" i="1"/>
  <c r="O45" i="1"/>
  <c r="K33" i="1"/>
  <c r="K37" i="1"/>
  <c r="K35" i="1"/>
  <c r="M87" i="1"/>
  <c r="O50" i="1"/>
  <c r="K34" i="1"/>
  <c r="Q74" i="1"/>
  <c r="M86" i="1"/>
  <c r="L88" i="1"/>
  <c r="R182" i="1"/>
  <c r="R181" i="10" s="1"/>
  <c r="G113" i="10"/>
  <c r="P112" i="10"/>
  <c r="P110" i="10"/>
  <c r="P114" i="1"/>
  <c r="J40" i="1"/>
  <c r="P106" i="10"/>
  <c r="M113" i="10"/>
  <c r="I40" i="1"/>
  <c r="K39" i="5"/>
  <c r="L113" i="10"/>
  <c r="H113" i="10"/>
  <c r="L87" i="5"/>
  <c r="P75" i="5"/>
  <c r="J39" i="5"/>
  <c r="Q70" i="5"/>
  <c r="I100" i="5"/>
  <c r="Q109" i="6"/>
  <c r="I100" i="6"/>
  <c r="M39" i="6"/>
  <c r="H70" i="10"/>
  <c r="H75" i="10" s="1"/>
  <c r="O46" i="6"/>
  <c r="P109" i="10"/>
  <c r="Q108" i="6"/>
  <c r="F27" i="6"/>
  <c r="C113" i="10"/>
  <c r="Q72" i="6"/>
  <c r="I39" i="6"/>
  <c r="K86" i="6"/>
  <c r="M86" i="6" s="1"/>
  <c r="H75" i="6"/>
  <c r="I63" i="6"/>
  <c r="M85" i="6"/>
  <c r="P111" i="10"/>
  <c r="K84" i="6"/>
  <c r="M84" i="6" s="1"/>
  <c r="M80" i="6"/>
  <c r="Q112" i="6"/>
  <c r="K113" i="10"/>
  <c r="F15" i="6"/>
  <c r="J113" i="10"/>
  <c r="I113" i="10"/>
  <c r="O49" i="6"/>
  <c r="N113" i="10"/>
  <c r="P75" i="6"/>
  <c r="P113" i="6"/>
  <c r="Q110" i="6"/>
  <c r="E113" i="10"/>
  <c r="Q73" i="6"/>
  <c r="Q106" i="6"/>
  <c r="Q106" i="10" s="1"/>
  <c r="D113" i="10"/>
  <c r="Q74" i="6"/>
  <c r="Q75" i="7"/>
  <c r="Q111" i="7"/>
  <c r="P108" i="10"/>
  <c r="I100" i="7"/>
  <c r="P75" i="7"/>
  <c r="P107" i="10"/>
  <c r="J37" i="10"/>
  <c r="J35" i="10"/>
  <c r="J33" i="10"/>
  <c r="M51" i="7"/>
  <c r="K81" i="10"/>
  <c r="F13" i="10"/>
  <c r="J32" i="10"/>
  <c r="I35" i="10"/>
  <c r="I37" i="10"/>
  <c r="I33" i="10"/>
  <c r="L84" i="10"/>
  <c r="L81" i="10"/>
  <c r="I56" i="10"/>
  <c r="O113" i="6"/>
  <c r="Q107" i="6"/>
  <c r="Q70" i="6"/>
  <c r="Q69" i="6"/>
  <c r="M48" i="10"/>
  <c r="L80" i="10"/>
  <c r="I62" i="10"/>
  <c r="I60" i="10"/>
  <c r="F11" i="10"/>
  <c r="I57" i="10"/>
  <c r="F23" i="10"/>
  <c r="M45" i="10"/>
  <c r="C87" i="10"/>
  <c r="F10" i="10"/>
  <c r="D75" i="10"/>
  <c r="I94" i="10"/>
  <c r="C75" i="10"/>
  <c r="F9" i="10"/>
  <c r="F20" i="10"/>
  <c r="N44" i="10"/>
  <c r="M44" i="10"/>
  <c r="D63" i="10"/>
  <c r="F8" i="10"/>
  <c r="F22" i="10"/>
  <c r="M46" i="10"/>
  <c r="I58" i="10"/>
  <c r="I98" i="10"/>
  <c r="P72" i="10"/>
  <c r="I59" i="10"/>
  <c r="N50" i="10"/>
  <c r="O72" i="10"/>
  <c r="E39" i="10"/>
  <c r="I61" i="10"/>
  <c r="N45" i="10"/>
  <c r="L85" i="10"/>
  <c r="P74" i="10"/>
  <c r="P69" i="10"/>
  <c r="H51" i="10"/>
  <c r="O74" i="10"/>
  <c r="O71" i="10"/>
  <c r="G51" i="10"/>
  <c r="M47" i="10"/>
  <c r="C51" i="10"/>
  <c r="O68" i="10"/>
  <c r="F100" i="10"/>
  <c r="E15" i="10"/>
  <c r="I99" i="10"/>
  <c r="H63" i="10"/>
  <c r="P73" i="10"/>
  <c r="N49" i="10"/>
  <c r="O69" i="10"/>
  <c r="M50" i="10"/>
  <c r="J38" i="10"/>
  <c r="K51" i="10"/>
  <c r="J75" i="10"/>
  <c r="K82" i="10"/>
  <c r="D100" i="10"/>
  <c r="G63" i="10"/>
  <c r="F14" i="10"/>
  <c r="P71" i="10"/>
  <c r="F24" i="10"/>
  <c r="N46" i="10"/>
  <c r="O73" i="10"/>
  <c r="O70" i="10"/>
  <c r="G100" i="10"/>
  <c r="M49" i="10"/>
  <c r="D15" i="10"/>
  <c r="J36" i="10"/>
  <c r="I93" i="10"/>
  <c r="F12" i="10"/>
  <c r="E27" i="10"/>
  <c r="I38" i="10"/>
  <c r="I36" i="10"/>
  <c r="I75" i="10"/>
  <c r="L82" i="10"/>
  <c r="D87" i="10"/>
  <c r="I97" i="10"/>
  <c r="I95" i="10"/>
  <c r="F63" i="10"/>
  <c r="F39" i="10"/>
  <c r="I96" i="10"/>
  <c r="H100" i="10"/>
  <c r="E63" i="10"/>
  <c r="F26" i="10"/>
  <c r="N47" i="10"/>
  <c r="L86" i="10"/>
  <c r="L83" i="10"/>
  <c r="F25" i="10"/>
  <c r="K85" i="10"/>
  <c r="K83" i="10"/>
  <c r="F21" i="10"/>
  <c r="N48" i="10"/>
  <c r="E75" i="10"/>
  <c r="E100" i="10"/>
  <c r="C63" i="10"/>
  <c r="N52" i="1"/>
  <c r="M51" i="6"/>
  <c r="N51" i="6"/>
  <c r="H39" i="10"/>
  <c r="G39" i="10"/>
  <c r="D27" i="10"/>
  <c r="K80" i="10"/>
  <c r="G75" i="10"/>
  <c r="K75" i="10"/>
  <c r="I51" i="10"/>
  <c r="D39" i="10"/>
  <c r="C15" i="10"/>
  <c r="C27" i="10"/>
  <c r="I34" i="10"/>
  <c r="J34" i="10"/>
  <c r="C39" i="10"/>
  <c r="I32" i="10"/>
  <c r="F51" i="10"/>
  <c r="L51" i="10"/>
  <c r="E51" i="10"/>
  <c r="D51" i="10"/>
  <c r="J51" i="10"/>
  <c r="M75" i="10"/>
  <c r="L75" i="10"/>
  <c r="N75" i="10"/>
  <c r="F75" i="10"/>
  <c r="P68" i="10"/>
  <c r="J87" i="10"/>
  <c r="I87" i="10"/>
  <c r="H87" i="10"/>
  <c r="F87" i="10"/>
  <c r="E87" i="10"/>
  <c r="C100" i="10"/>
  <c r="P113" i="7"/>
  <c r="K34" i="7"/>
  <c r="K32" i="7"/>
  <c r="K36" i="7"/>
  <c r="J39" i="7"/>
  <c r="K37" i="7"/>
  <c r="I39" i="7"/>
  <c r="N51" i="7"/>
  <c r="L87" i="6"/>
  <c r="O75" i="5"/>
  <c r="R135" i="10" l="1"/>
  <c r="R167" i="6"/>
  <c r="R119" i="7"/>
  <c r="Q125" i="10"/>
  <c r="Q164" i="5"/>
  <c r="R155" i="10"/>
  <c r="Q168" i="10"/>
  <c r="R119" i="5"/>
  <c r="R164" i="5" s="1"/>
  <c r="Q135" i="10"/>
  <c r="R168" i="5"/>
  <c r="R169" i="10" s="1"/>
  <c r="M87" i="6"/>
  <c r="R166" i="10"/>
  <c r="R147" i="10"/>
  <c r="P164" i="5"/>
  <c r="R167" i="7"/>
  <c r="R166" i="5"/>
  <c r="Q167" i="10"/>
  <c r="Q169" i="10"/>
  <c r="P164" i="6"/>
  <c r="P165" i="10" s="1"/>
  <c r="R157" i="10"/>
  <c r="R168" i="10"/>
  <c r="O51" i="6"/>
  <c r="R143" i="10"/>
  <c r="R130" i="10"/>
  <c r="P167" i="10"/>
  <c r="R165" i="6"/>
  <c r="R126" i="10"/>
  <c r="R165" i="5"/>
  <c r="R161" i="10"/>
  <c r="R167" i="1"/>
  <c r="R127" i="10"/>
  <c r="R166" i="7"/>
  <c r="R151" i="10"/>
  <c r="R144" i="10"/>
  <c r="R128" i="10"/>
  <c r="R149" i="10"/>
  <c r="R145" i="10"/>
  <c r="R153" i="10"/>
  <c r="R133" i="10"/>
  <c r="R158" i="10"/>
  <c r="R131" i="10"/>
  <c r="R121" i="10"/>
  <c r="R165" i="7"/>
  <c r="R146" i="10"/>
  <c r="R159" i="10"/>
  <c r="R162" i="10"/>
  <c r="R136" i="10"/>
  <c r="R140" i="10"/>
  <c r="R152" i="10"/>
  <c r="Q164" i="7"/>
  <c r="Q155" i="10"/>
  <c r="R137" i="10"/>
  <c r="R132" i="10"/>
  <c r="R168" i="6"/>
  <c r="Q164" i="6"/>
  <c r="Q165" i="10" s="1"/>
  <c r="R148" i="10"/>
  <c r="R142" i="10"/>
  <c r="R139" i="10"/>
  <c r="R167" i="5"/>
  <c r="R165" i="1"/>
  <c r="R164" i="7"/>
  <c r="R164" i="6"/>
  <c r="R168" i="7"/>
  <c r="R160" i="10"/>
  <c r="R166" i="6"/>
  <c r="R163" i="10"/>
  <c r="R164" i="10"/>
  <c r="R120" i="10"/>
  <c r="R124" i="10"/>
  <c r="R122" i="10"/>
  <c r="R123" i="10"/>
  <c r="O52" i="1"/>
  <c r="P70" i="10"/>
  <c r="P75" i="10" s="1"/>
  <c r="Q113" i="6"/>
  <c r="K87" i="6"/>
  <c r="Q75" i="6"/>
  <c r="P113" i="10"/>
  <c r="K33" i="10"/>
  <c r="K35" i="10"/>
  <c r="Q113" i="7"/>
  <c r="K37" i="10"/>
  <c r="O45" i="10"/>
  <c r="M81" i="10"/>
  <c r="O50" i="10"/>
  <c r="Q72" i="10"/>
  <c r="I63" i="10"/>
  <c r="K34" i="10"/>
  <c r="Q71" i="10"/>
  <c r="M80" i="10"/>
  <c r="M82" i="10"/>
  <c r="O48" i="10"/>
  <c r="Q74" i="10"/>
  <c r="F27" i="10"/>
  <c r="O49" i="10"/>
  <c r="N51" i="10"/>
  <c r="K38" i="10"/>
  <c r="M85" i="10"/>
  <c r="F15" i="10"/>
  <c r="I39" i="10"/>
  <c r="K36" i="10"/>
  <c r="M83" i="10"/>
  <c r="I100" i="10"/>
  <c r="K32" i="10"/>
  <c r="J39" i="10"/>
  <c r="O47" i="10"/>
  <c r="L87" i="10"/>
  <c r="Q69" i="10"/>
  <c r="M51" i="10"/>
  <c r="Q73" i="10"/>
  <c r="Q68" i="10"/>
  <c r="O46" i="10"/>
  <c r="O75" i="10"/>
  <c r="O44" i="10"/>
  <c r="K39" i="7"/>
  <c r="O75" i="6"/>
  <c r="R167" i="10" l="1"/>
  <c r="R165" i="10"/>
  <c r="Q70" i="10"/>
  <c r="Q75" i="10"/>
  <c r="K39" i="10"/>
  <c r="O51" i="10"/>
  <c r="G84" i="7"/>
  <c r="K87" i="7"/>
  <c r="G87" i="7" l="1"/>
  <c r="K84" i="7"/>
  <c r="M84" i="7" s="1"/>
  <c r="C100" i="5"/>
  <c r="G86" i="5"/>
  <c r="G84" i="5"/>
  <c r="G84" i="10" s="1"/>
  <c r="F22" i="5"/>
  <c r="F27" i="5" s="1"/>
  <c r="D27" i="5"/>
  <c r="E27" i="5"/>
  <c r="O113" i="5" l="1"/>
  <c r="O106" i="10"/>
  <c r="G87" i="5"/>
  <c r="K84" i="5"/>
  <c r="K86" i="5"/>
  <c r="M86" i="5" s="1"/>
  <c r="G86" i="10"/>
  <c r="K86" i="10" s="1"/>
  <c r="M86" i="10" s="1"/>
  <c r="K84" i="10"/>
  <c r="O109" i="1"/>
  <c r="Q109" i="1" s="1"/>
  <c r="Q108" i="10" s="1"/>
  <c r="O113" i="1"/>
  <c r="O112" i="1"/>
  <c r="Q112" i="1" s="1"/>
  <c r="Q111" i="10" s="1"/>
  <c r="O111" i="1"/>
  <c r="Q111" i="1" s="1"/>
  <c r="Q110" i="10" s="1"/>
  <c r="O108" i="1"/>
  <c r="O107" i="10" s="1"/>
  <c r="O110" i="1"/>
  <c r="Q110" i="1" s="1"/>
  <c r="Q109" i="10" s="1"/>
  <c r="C101" i="1"/>
  <c r="O111" i="10" l="1"/>
  <c r="G87" i="10"/>
  <c r="O109" i="10"/>
  <c r="Q108" i="1"/>
  <c r="O114" i="1"/>
  <c r="O113" i="10" s="1"/>
  <c r="O112" i="10"/>
  <c r="Q113" i="1"/>
  <c r="Q112" i="10" s="1"/>
  <c r="O110" i="10"/>
  <c r="O108" i="10"/>
  <c r="M84" i="5"/>
  <c r="M87" i="5" s="1"/>
  <c r="K87" i="5"/>
  <c r="K87" i="10"/>
  <c r="M84" i="10"/>
  <c r="M87" i="10" s="1"/>
  <c r="P76" i="1"/>
  <c r="Q76" i="1"/>
  <c r="C76" i="1"/>
  <c r="D76" i="1"/>
  <c r="E76" i="1"/>
  <c r="F76" i="1"/>
  <c r="G76" i="1"/>
  <c r="H76" i="1"/>
  <c r="I76" i="1"/>
  <c r="J76" i="1"/>
  <c r="K76" i="1"/>
  <c r="L76" i="1"/>
  <c r="M76" i="1"/>
  <c r="N76" i="1"/>
  <c r="C64" i="1"/>
  <c r="D64" i="1"/>
  <c r="E64" i="1"/>
  <c r="F64" i="1"/>
  <c r="G64" i="1"/>
  <c r="H64" i="1"/>
  <c r="I64" i="1" l="1"/>
  <c r="Q114" i="1"/>
  <c r="Q113" i="10" s="1"/>
  <c r="Q107" i="10"/>
  <c r="O76" i="1"/>
  <c r="K40" i="1"/>
  <c r="M88" i="1"/>
  <c r="K88" i="1"/>
</calcChain>
</file>

<file path=xl/sharedStrings.xml><?xml version="1.0" encoding="utf-8"?>
<sst xmlns="http://schemas.openxmlformats.org/spreadsheetml/2006/main" count="2004" uniqueCount="138">
  <si>
    <t>COLLECTE RAPIDE DES DONNEES STATISTIQUES SCOLAIRES DES PARAMETRES ESSENTIELS</t>
  </si>
  <si>
    <t>TABLEAU SYNTHESE</t>
  </si>
  <si>
    <t>SOUS-DIVISION EDUCATIONNELLE :………………………………………………………………………………….</t>
  </si>
  <si>
    <t>PROVINCE EDUCATIONNELLE          :………………………………………………………………………………….</t>
  </si>
  <si>
    <t>PROVINCE ADMINISTRATIVE           :………………………………………………………………………………….</t>
  </si>
  <si>
    <t>Tableau 1 : Nombre d’Etablissements scolaires par Niveau d’enseignement et Regime de Gestion</t>
  </si>
  <si>
    <t>N°</t>
  </si>
  <si>
    <t>PRE-PRIMAIRE</t>
  </si>
  <si>
    <t>PRIMAIRE</t>
  </si>
  <si>
    <t>SECONDAIRE</t>
  </si>
  <si>
    <t>TOTAL</t>
  </si>
  <si>
    <t>ENSEIGNEMENT PRE-PRIMAIRE</t>
  </si>
  <si>
    <t>Tableau 2 : Nombre de classes organisées par année d’études et regime de gestion</t>
  </si>
  <si>
    <r>
      <t>1</t>
    </r>
    <r>
      <rPr>
        <vertAlign val="superscript"/>
        <sz val="11"/>
        <color theme="1"/>
        <rFont val="Calibri"/>
        <family val="2"/>
        <scheme val="minor"/>
      </rPr>
      <t>ère</t>
    </r>
    <r>
      <rPr>
        <sz val="11"/>
        <color theme="1"/>
        <rFont val="Calibri"/>
        <family val="2"/>
        <scheme val="minor"/>
      </rPr>
      <t xml:space="preserve">  année</t>
    </r>
  </si>
  <si>
    <t>2è année</t>
  </si>
  <si>
    <t>3è annnée</t>
  </si>
  <si>
    <r>
      <t xml:space="preserve">Tableau :  </t>
    </r>
    <r>
      <rPr>
        <sz val="11"/>
        <color theme="1"/>
        <rFont val="Calibri"/>
        <family val="2"/>
        <scheme val="minor"/>
      </rPr>
      <t>Enfants inscrits par année d’études, sexe et regime de gestion</t>
    </r>
  </si>
  <si>
    <t>Tableau 4 : Educateurs (trices) par qualification, sexe et régime de gestion</t>
  </si>
  <si>
    <t xml:space="preserve">          Niveau d’enseignement et Régime de Gestion</t>
  </si>
  <si>
    <t>ENSEIGNEMENT PRIMAIRE</t>
  </si>
  <si>
    <t>Tableau 1 : Nombre de classes organisées par année d’études et régime de gestion</t>
  </si>
  <si>
    <r>
      <t>1</t>
    </r>
    <r>
      <rPr>
        <vertAlign val="superscript"/>
        <sz val="11"/>
        <color theme="1"/>
        <rFont val="Calibri"/>
        <family val="2"/>
        <scheme val="minor"/>
      </rPr>
      <t>ère</t>
    </r>
    <r>
      <rPr>
        <sz val="11"/>
        <color theme="1"/>
        <rFont val="Calibri"/>
        <family val="2"/>
        <scheme val="minor"/>
      </rPr>
      <t xml:space="preserve"> année</t>
    </r>
  </si>
  <si>
    <r>
      <t>2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  année</t>
    </r>
  </si>
  <si>
    <r>
      <t>3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année</t>
    </r>
  </si>
  <si>
    <r>
      <t>4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année</t>
    </r>
  </si>
  <si>
    <r>
      <t>5</t>
    </r>
    <r>
      <rPr>
        <vertAlign val="superscript"/>
        <sz val="11"/>
        <color theme="1"/>
        <rFont val="Calibri"/>
        <family val="2"/>
        <scheme val="minor"/>
      </rPr>
      <t>e</t>
    </r>
  </si>
  <si>
    <r>
      <t>6</t>
    </r>
    <r>
      <rPr>
        <vertAlign val="superscript"/>
        <sz val="11"/>
        <color theme="1"/>
        <rFont val="Calibri"/>
        <family val="2"/>
        <scheme val="minor"/>
      </rPr>
      <t>e</t>
    </r>
  </si>
  <si>
    <t>Tableau 2: Elèves inscrits par année d’études, sexe et régime de gestion</t>
  </si>
  <si>
    <r>
      <t>3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Année</t>
    </r>
  </si>
  <si>
    <t>G</t>
  </si>
  <si>
    <t>F</t>
  </si>
  <si>
    <t>Tableau 3 : Personnel enseignant par qualification, sexe et regime de gestion</t>
  </si>
  <si>
    <t>ENSEIGNEMENT SECONDAIRE</t>
  </si>
  <si>
    <t>Tableau 1 : Nombre de classes organisées par année d’études et regime de gestion</t>
  </si>
  <si>
    <r>
      <t>7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année</t>
    </r>
  </si>
  <si>
    <r>
      <t>2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 année</t>
    </r>
  </si>
  <si>
    <r>
      <t>4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Année</t>
    </r>
  </si>
  <si>
    <t>Tableau : Eleves inscrits par niveau d’études, sexe et regime de gestion</t>
  </si>
  <si>
    <t>Tableau 3 : Personnel enseignant par qualification</t>
  </si>
  <si>
    <t>4e Année</t>
  </si>
  <si>
    <t>6e Année</t>
  </si>
  <si>
    <t xml:space="preserve">                                 Classe et Régime de Gestion</t>
  </si>
  <si>
    <t>8e Année</t>
  </si>
  <si>
    <t>H</t>
  </si>
  <si>
    <t>ENC</t>
  </si>
  <si>
    <t>ECC</t>
  </si>
  <si>
    <t>ECP</t>
  </si>
  <si>
    <t>ECK</t>
  </si>
  <si>
    <t>ECBAPT</t>
  </si>
  <si>
    <t>ECADV</t>
  </si>
  <si>
    <t>PRIVEE</t>
  </si>
  <si>
    <t>1ère Année</t>
  </si>
  <si>
    <t>2è Année</t>
  </si>
  <si>
    <t>3è Année</t>
  </si>
  <si>
    <t>G+F</t>
  </si>
  <si>
    <t>G3</t>
  </si>
  <si>
    <t>A1</t>
  </si>
  <si>
    <t>LA</t>
  </si>
  <si>
    <t>L2A</t>
  </si>
  <si>
    <t>A0</t>
  </si>
  <si>
    <t>DR</t>
  </si>
  <si>
    <t>AUTRE</t>
  </si>
  <si>
    <t>GF</t>
  </si>
  <si>
    <t>D4</t>
  </si>
  <si>
    <t>EAP, D3</t>
  </si>
  <si>
    <t>EM</t>
  </si>
  <si>
    <t>D6</t>
  </si>
  <si>
    <t>HF</t>
  </si>
  <si>
    <t>2e   année</t>
  </si>
  <si>
    <t>3e Année</t>
  </si>
  <si>
    <t>5e Année</t>
  </si>
  <si>
    <t>TOATAL</t>
  </si>
  <si>
    <t>3e année</t>
  </si>
  <si>
    <t>4e année</t>
  </si>
  <si>
    <t>7e Année</t>
  </si>
  <si>
    <t>MITWABA</t>
  </si>
  <si>
    <t>HAUT-KATANGA 2</t>
  </si>
  <si>
    <t>HAUT-KATANGA</t>
  </si>
  <si>
    <t>KASENGA</t>
  </si>
  <si>
    <r>
      <t>7</t>
    </r>
    <r>
      <rPr>
        <b/>
        <vertAlign val="super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 xml:space="preserve"> année</t>
    </r>
  </si>
  <si>
    <r>
      <t>1</t>
    </r>
    <r>
      <rPr>
        <b/>
        <vertAlign val="superscript"/>
        <sz val="11"/>
        <color theme="1"/>
        <rFont val="Calibri"/>
        <family val="2"/>
        <scheme val="minor"/>
      </rPr>
      <t>ère</t>
    </r>
    <r>
      <rPr>
        <b/>
        <sz val="11"/>
        <color theme="1"/>
        <rFont val="Calibri"/>
        <family val="2"/>
        <scheme val="minor"/>
      </rPr>
      <t xml:space="preserve">  année</t>
    </r>
  </si>
  <si>
    <r>
      <t>2</t>
    </r>
    <r>
      <rPr>
        <b/>
        <vertAlign val="super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 xml:space="preserve">  année</t>
    </r>
  </si>
  <si>
    <r>
      <t>3</t>
    </r>
    <r>
      <rPr>
        <b/>
        <vertAlign val="super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 xml:space="preserve"> Année</t>
    </r>
  </si>
  <si>
    <r>
      <t>4</t>
    </r>
    <r>
      <rPr>
        <b/>
        <vertAlign val="super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 xml:space="preserve"> Année</t>
    </r>
  </si>
  <si>
    <r>
      <t>1</t>
    </r>
    <r>
      <rPr>
        <b/>
        <vertAlign val="superscript"/>
        <sz val="11"/>
        <color theme="1"/>
        <rFont val="Calibri"/>
        <family val="2"/>
        <scheme val="minor"/>
      </rPr>
      <t>ère</t>
    </r>
    <r>
      <rPr>
        <b/>
        <sz val="11"/>
        <color theme="1"/>
        <rFont val="Calibri"/>
        <family val="2"/>
        <scheme val="minor"/>
      </rPr>
      <t xml:space="preserve"> année</t>
    </r>
  </si>
  <si>
    <r>
      <t>5</t>
    </r>
    <r>
      <rPr>
        <b/>
        <vertAlign val="superscript"/>
        <sz val="11"/>
        <color theme="1"/>
        <rFont val="Calibri"/>
        <family val="2"/>
        <scheme val="minor"/>
      </rPr>
      <t>e</t>
    </r>
  </si>
  <si>
    <r>
      <t>6</t>
    </r>
    <r>
      <rPr>
        <b/>
        <vertAlign val="superscript"/>
        <sz val="11"/>
        <color theme="1"/>
        <rFont val="Calibri"/>
        <family val="2"/>
        <scheme val="minor"/>
      </rPr>
      <t>e</t>
    </r>
  </si>
  <si>
    <t>KILWA</t>
  </si>
  <si>
    <t>PWETO</t>
  </si>
  <si>
    <t xml:space="preserve">HAUT-KATANGA </t>
  </si>
  <si>
    <t>KASENGA, KILWA, MITWABA, PWETO</t>
  </si>
  <si>
    <r>
      <t>2</t>
    </r>
    <r>
      <rPr>
        <b/>
        <vertAlign val="super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 xml:space="preserve">   année</t>
    </r>
  </si>
  <si>
    <r>
      <t>3</t>
    </r>
    <r>
      <rPr>
        <b/>
        <vertAlign val="super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 xml:space="preserve"> année</t>
    </r>
  </si>
  <si>
    <r>
      <t>4</t>
    </r>
    <r>
      <rPr>
        <b/>
        <vertAlign val="super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 xml:space="preserve"> année</t>
    </r>
  </si>
  <si>
    <r>
      <t>7</t>
    </r>
    <r>
      <rPr>
        <b/>
        <vertAlign val="superscript"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 xml:space="preserve"> année</t>
    </r>
  </si>
  <si>
    <r>
      <t>1</t>
    </r>
    <r>
      <rPr>
        <b/>
        <vertAlign val="superscript"/>
        <sz val="12"/>
        <color theme="1"/>
        <rFont val="Calibri"/>
        <family val="2"/>
        <scheme val="minor"/>
      </rPr>
      <t>ère</t>
    </r>
    <r>
      <rPr>
        <b/>
        <sz val="12"/>
        <color theme="1"/>
        <rFont val="Calibri"/>
        <family val="2"/>
        <scheme val="minor"/>
      </rPr>
      <t xml:space="preserve">  année</t>
    </r>
  </si>
  <si>
    <r>
      <t>2</t>
    </r>
    <r>
      <rPr>
        <b/>
        <vertAlign val="superscript"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 xml:space="preserve">  année</t>
    </r>
  </si>
  <si>
    <r>
      <t>3</t>
    </r>
    <r>
      <rPr>
        <b/>
        <vertAlign val="superscript"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 xml:space="preserve"> Année</t>
    </r>
  </si>
  <si>
    <r>
      <t>4</t>
    </r>
    <r>
      <rPr>
        <b/>
        <vertAlign val="superscript"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 xml:space="preserve"> Année</t>
    </r>
  </si>
  <si>
    <r>
      <t>1</t>
    </r>
    <r>
      <rPr>
        <b/>
        <vertAlign val="superscript"/>
        <sz val="12"/>
        <color theme="1"/>
        <rFont val="Calibri"/>
        <family val="2"/>
        <scheme val="minor"/>
      </rPr>
      <t>ère</t>
    </r>
    <r>
      <rPr>
        <b/>
        <sz val="12"/>
        <color theme="1"/>
        <rFont val="Calibri"/>
        <family val="2"/>
        <scheme val="minor"/>
      </rPr>
      <t xml:space="preserve"> année</t>
    </r>
  </si>
  <si>
    <r>
      <t>2</t>
    </r>
    <r>
      <rPr>
        <b/>
        <vertAlign val="superscript"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 xml:space="preserve">   année</t>
    </r>
  </si>
  <si>
    <r>
      <t>3</t>
    </r>
    <r>
      <rPr>
        <b/>
        <vertAlign val="superscript"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 xml:space="preserve"> année</t>
    </r>
  </si>
  <si>
    <r>
      <t>4</t>
    </r>
    <r>
      <rPr>
        <b/>
        <vertAlign val="superscript"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 xml:space="preserve"> année</t>
    </r>
  </si>
  <si>
    <r>
      <t>5</t>
    </r>
    <r>
      <rPr>
        <b/>
        <vertAlign val="superscript"/>
        <sz val="12"/>
        <color theme="1"/>
        <rFont val="Calibri"/>
        <family val="2"/>
        <scheme val="minor"/>
      </rPr>
      <t>e</t>
    </r>
  </si>
  <si>
    <r>
      <t>6</t>
    </r>
    <r>
      <rPr>
        <b/>
        <vertAlign val="superscript"/>
        <sz val="12"/>
        <color theme="1"/>
        <rFont val="Calibri"/>
        <family val="2"/>
        <scheme val="minor"/>
      </rPr>
      <t>e</t>
    </r>
  </si>
  <si>
    <r>
      <t xml:space="preserve">Tableau :  </t>
    </r>
    <r>
      <rPr>
        <b/>
        <sz val="14"/>
        <color theme="1"/>
        <rFont val="Calibri"/>
        <family val="2"/>
        <scheme val="minor"/>
      </rPr>
      <t>Enfants inscrits par année d’études, sexe et regime de gestion</t>
    </r>
  </si>
  <si>
    <r>
      <t>T</t>
    </r>
    <r>
      <rPr>
        <b/>
        <sz val="14"/>
        <color theme="1"/>
        <rFont val="Calibri"/>
        <family val="2"/>
        <scheme val="minor"/>
      </rPr>
      <t>ableau 4 : Educateurs (trices) par qualification, sexe et régime de gestion</t>
    </r>
  </si>
  <si>
    <r>
      <t xml:space="preserve">Tableau :  </t>
    </r>
    <r>
      <rPr>
        <b/>
        <sz val="11"/>
        <color theme="1"/>
        <rFont val="Calibri"/>
        <family val="2"/>
        <scheme val="minor"/>
      </rPr>
      <t>Enfants inscrits par année d’études, sexe et regime de gestion</t>
    </r>
  </si>
  <si>
    <t>FAIT A PWETO, LE 21 MARS 2025</t>
  </si>
  <si>
    <r>
      <t xml:space="preserve">Tableau 3 :  </t>
    </r>
    <r>
      <rPr>
        <b/>
        <sz val="11"/>
        <color theme="1"/>
        <rFont val="Calibri"/>
        <family val="2"/>
        <scheme val="minor"/>
      </rPr>
      <t>Enfants inscrits par année d’études, sexe et regime de gestion</t>
    </r>
  </si>
  <si>
    <t>Tableau 10: Eleves inscrits  par année d'étude,sexe, régime de gestion et type d'enseignement</t>
  </si>
  <si>
    <t>Régime de gestion</t>
  </si>
  <si>
    <t>Type d'enseignement</t>
  </si>
  <si>
    <t>Classe</t>
  </si>
  <si>
    <t>2ème                            (8 ème année)</t>
  </si>
  <si>
    <t>3ème année           (1ère Humanité)</t>
  </si>
  <si>
    <t>4ème année          (2ème Humanité)</t>
  </si>
  <si>
    <t>5ème année          (3ème Humanité)</t>
  </si>
  <si>
    <t>6ème année          (4ème Humanité)</t>
  </si>
  <si>
    <t>Général</t>
  </si>
  <si>
    <t>Normal</t>
  </si>
  <si>
    <t>Technique</t>
  </si>
  <si>
    <t>Professionnel</t>
  </si>
  <si>
    <t>Art et Metiers</t>
  </si>
  <si>
    <t>ECI</t>
  </si>
  <si>
    <t>ECF</t>
  </si>
  <si>
    <t>ECS</t>
  </si>
  <si>
    <t>EPR</t>
  </si>
  <si>
    <t>AUT</t>
  </si>
  <si>
    <t>1ère année               (7ème année)</t>
  </si>
  <si>
    <t>3ème année              (1ère Humanité)</t>
  </si>
  <si>
    <t>1ère année                                 (7ème année)</t>
  </si>
  <si>
    <t>3ème année                  (1ère Humanité)</t>
  </si>
  <si>
    <t>2ème                                                (8 ème année)</t>
  </si>
  <si>
    <t>T</t>
  </si>
  <si>
    <t xml:space="preserve"> Niveau d’enseignement et Régime de Gestion</t>
  </si>
  <si>
    <r>
      <t>5</t>
    </r>
    <r>
      <rPr>
        <b/>
        <vertAlign val="superscript"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 xml:space="preserve"> année</t>
    </r>
  </si>
  <si>
    <r>
      <t>6</t>
    </r>
    <r>
      <rPr>
        <b/>
        <vertAlign val="superscript"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 xml:space="preserve"> année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</si>
</sst>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Arial Narrow"/>
      <family val="2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0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1" xfId="0" applyBorder="1"/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top" wrapText="1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0" fillId="4" borderId="11" xfId="0" applyFill="1" applyBorder="1" applyAlignment="1">
      <alignment vertical="center" wrapText="1"/>
    </xf>
    <xf numFmtId="0" fontId="0" fillId="5" borderId="5" xfId="0" applyFill="1" applyBorder="1" applyAlignment="1">
      <alignment vertical="center" wrapText="1"/>
    </xf>
    <xf numFmtId="0" fontId="0" fillId="5" borderId="16" xfId="0" applyFill="1" applyBorder="1" applyAlignment="1">
      <alignment vertical="center" wrapText="1"/>
    </xf>
    <xf numFmtId="0" fontId="0" fillId="5" borderId="9" xfId="0" applyFill="1" applyBorder="1" applyAlignment="1">
      <alignment vertical="center" wrapText="1"/>
    </xf>
    <xf numFmtId="0" fontId="0" fillId="5" borderId="13" xfId="0" applyFill="1" applyBorder="1" applyAlignment="1">
      <alignment vertical="center" wrapText="1"/>
    </xf>
    <xf numFmtId="0" fontId="0" fillId="5" borderId="11" xfId="0" applyFill="1" applyBorder="1" applyAlignment="1">
      <alignment vertical="center" wrapText="1"/>
    </xf>
    <xf numFmtId="0" fontId="0" fillId="5" borderId="0" xfId="0" applyFill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0" fillId="5" borderId="17" xfId="0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0" fillId="7" borderId="11" xfId="0" applyFill="1" applyBorder="1" applyAlignment="1">
      <alignment vertical="center" wrapText="1"/>
    </xf>
    <xf numFmtId="0" fontId="0" fillId="7" borderId="6" xfId="0" applyFill="1" applyBorder="1" applyAlignment="1">
      <alignment vertical="center" wrapText="1"/>
    </xf>
    <xf numFmtId="0" fontId="0" fillId="7" borderId="17" xfId="0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4" fillId="3" borderId="13" xfId="0" applyFont="1" applyFill="1" applyBorder="1" applyAlignment="1">
      <alignment vertical="center" wrapText="1"/>
    </xf>
    <xf numFmtId="0" fontId="0" fillId="7" borderId="13" xfId="0" applyFill="1" applyBorder="1" applyAlignment="1">
      <alignment vertical="center" wrapText="1"/>
    </xf>
    <xf numFmtId="0" fontId="4" fillId="3" borderId="16" xfId="0" applyFont="1" applyFill="1" applyBorder="1" applyAlignment="1">
      <alignment vertical="center" wrapText="1"/>
    </xf>
    <xf numFmtId="0" fontId="0" fillId="7" borderId="16" xfId="0" applyFill="1" applyBorder="1" applyAlignment="1">
      <alignment vertical="center" wrapText="1"/>
    </xf>
    <xf numFmtId="0" fontId="4" fillId="0" borderId="0" xfId="0" applyFont="1"/>
    <xf numFmtId="0" fontId="0" fillId="2" borderId="0" xfId="0" applyFill="1" applyAlignment="1">
      <alignment horizontal="center" vertical="center" wrapText="1"/>
    </xf>
    <xf numFmtId="0" fontId="4" fillId="9" borderId="11" xfId="0" applyFont="1" applyFill="1" applyBorder="1" applyAlignment="1">
      <alignment vertical="center" wrapText="1"/>
    </xf>
    <xf numFmtId="0" fontId="4" fillId="9" borderId="11" xfId="0" applyFont="1" applyFill="1" applyBorder="1" applyAlignment="1">
      <alignment horizontal="center" vertical="center" wrapText="1"/>
    </xf>
    <xf numFmtId="0" fontId="0" fillId="10" borderId="13" xfId="0" applyFill="1" applyBorder="1" applyAlignment="1">
      <alignment vertical="center" wrapText="1"/>
    </xf>
    <xf numFmtId="0" fontId="0" fillId="10" borderId="5" xfId="0" applyFill="1" applyBorder="1" applyAlignment="1">
      <alignment vertical="center" wrapText="1"/>
    </xf>
    <xf numFmtId="0" fontId="0" fillId="10" borderId="11" xfId="0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4" fillId="9" borderId="4" xfId="0" applyFont="1" applyFill="1" applyBorder="1" applyAlignment="1">
      <alignment vertical="center" wrapText="1"/>
    </xf>
    <xf numFmtId="0" fontId="4" fillId="9" borderId="10" xfId="0" applyFont="1" applyFill="1" applyBorder="1" applyAlignment="1">
      <alignment vertical="center" wrapText="1"/>
    </xf>
    <xf numFmtId="0" fontId="4" fillId="9" borderId="13" xfId="0" applyFont="1" applyFill="1" applyBorder="1" applyAlignment="1">
      <alignment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vertical="center" wrapText="1"/>
    </xf>
    <xf numFmtId="0" fontId="0" fillId="10" borderId="0" xfId="0" applyFill="1" applyAlignment="1">
      <alignment vertical="center" wrapText="1"/>
    </xf>
    <xf numFmtId="0" fontId="0" fillId="0" borderId="11" xfId="0" applyBorder="1" applyAlignment="1">
      <alignment horizontal="center" vertical="top" wrapText="1"/>
    </xf>
    <xf numFmtId="0" fontId="4" fillId="8" borderId="11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/>
    </xf>
    <xf numFmtId="0" fontId="4" fillId="9" borderId="16" xfId="0" applyFont="1" applyFill="1" applyBorder="1" applyAlignment="1">
      <alignment vertical="center" wrapText="1"/>
    </xf>
    <xf numFmtId="0" fontId="0" fillId="10" borderId="16" xfId="0" applyFill="1" applyBorder="1" applyAlignment="1">
      <alignment vertical="center" wrapText="1"/>
    </xf>
    <xf numFmtId="0" fontId="0" fillId="10" borderId="9" xfId="0" applyFill="1" applyBorder="1" applyAlignment="1">
      <alignment vertical="center" wrapText="1"/>
    </xf>
    <xf numFmtId="0" fontId="0" fillId="11" borderId="11" xfId="0" applyFill="1" applyBorder="1" applyAlignment="1">
      <alignment vertical="center" wrapText="1"/>
    </xf>
    <xf numFmtId="0" fontId="0" fillId="11" borderId="6" xfId="0" applyFill="1" applyBorder="1" applyAlignment="1">
      <alignment vertical="center" wrapText="1"/>
    </xf>
    <xf numFmtId="0" fontId="0" fillId="11" borderId="13" xfId="0" applyFill="1" applyBorder="1" applyAlignment="1">
      <alignment vertical="center" wrapText="1"/>
    </xf>
    <xf numFmtId="0" fontId="0" fillId="12" borderId="11" xfId="0" applyFill="1" applyBorder="1" applyAlignment="1">
      <alignment vertical="center" wrapText="1"/>
    </xf>
    <xf numFmtId="0" fontId="0" fillId="12" borderId="16" xfId="0" applyFill="1" applyBorder="1" applyAlignment="1">
      <alignment vertical="center" wrapText="1"/>
    </xf>
    <xf numFmtId="0" fontId="0" fillId="12" borderId="13" xfId="0" applyFill="1" applyBorder="1" applyAlignment="1">
      <alignment vertical="center" wrapText="1"/>
    </xf>
    <xf numFmtId="0" fontId="0" fillId="12" borderId="6" xfId="0" applyFill="1" applyBorder="1" applyAlignment="1">
      <alignment vertical="center" wrapText="1"/>
    </xf>
    <xf numFmtId="0" fontId="0" fillId="12" borderId="0" xfId="0" applyFill="1"/>
    <xf numFmtId="0" fontId="5" fillId="0" borderId="11" xfId="0" applyFont="1" applyBorder="1" applyAlignment="1">
      <alignment vertical="center" wrapText="1"/>
    </xf>
    <xf numFmtId="0" fontId="7" fillId="9" borderId="11" xfId="0" applyFont="1" applyFill="1" applyBorder="1" applyAlignment="1">
      <alignment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vertical="center" wrapText="1"/>
    </xf>
    <xf numFmtId="0" fontId="5" fillId="12" borderId="11" xfId="0" applyFont="1" applyFill="1" applyBorder="1" applyAlignment="1">
      <alignment vertical="center" wrapText="1"/>
    </xf>
    <xf numFmtId="0" fontId="5" fillId="10" borderId="11" xfId="0" applyFont="1" applyFill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7" fillId="9" borderId="10" xfId="0" applyFont="1" applyFill="1" applyBorder="1" applyAlignment="1">
      <alignment vertical="center" wrapText="1"/>
    </xf>
    <xf numFmtId="0" fontId="7" fillId="9" borderId="13" xfId="0" applyFont="1" applyFill="1" applyBorder="1" applyAlignment="1">
      <alignment vertical="center" wrapText="1"/>
    </xf>
    <xf numFmtId="0" fontId="7" fillId="9" borderId="13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vertical="center" wrapText="1"/>
    </xf>
    <xf numFmtId="0" fontId="5" fillId="12" borderId="13" xfId="0" applyFont="1" applyFill="1" applyBorder="1" applyAlignment="1">
      <alignment vertical="center" wrapText="1"/>
    </xf>
    <xf numFmtId="0" fontId="5" fillId="12" borderId="14" xfId="0" applyFont="1" applyFill="1" applyBorder="1" applyAlignment="1">
      <alignment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5" fillId="10" borderId="17" xfId="0" applyFont="1" applyFill="1" applyBorder="1" applyAlignment="1">
      <alignment vertical="center" wrapText="1"/>
    </xf>
    <xf numFmtId="0" fontId="5" fillId="10" borderId="9" xfId="0" applyFont="1" applyFill="1" applyBorder="1" applyAlignment="1">
      <alignment vertical="center" wrapText="1"/>
    </xf>
    <xf numFmtId="0" fontId="9" fillId="0" borderId="0" xfId="0" applyFont="1" applyAlignment="1">
      <alignment vertical="center"/>
    </xf>
    <xf numFmtId="0" fontId="5" fillId="10" borderId="5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vertical="center" wrapText="1"/>
    </xf>
    <xf numFmtId="0" fontId="7" fillId="9" borderId="4" xfId="0" applyFont="1" applyFill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top" wrapText="1"/>
    </xf>
    <xf numFmtId="0" fontId="5" fillId="10" borderId="13" xfId="0" applyFont="1" applyFill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7" fillId="9" borderId="16" xfId="0" applyFont="1" applyFill="1" applyBorder="1" applyAlignment="1">
      <alignment vertical="center" wrapText="1"/>
    </xf>
    <xf numFmtId="0" fontId="5" fillId="12" borderId="16" xfId="0" applyFont="1" applyFill="1" applyBorder="1" applyAlignment="1">
      <alignment vertical="center" wrapText="1"/>
    </xf>
    <xf numFmtId="0" fontId="5" fillId="10" borderId="16" xfId="0" applyFont="1" applyFill="1" applyBorder="1" applyAlignment="1">
      <alignment vertical="center" wrapText="1"/>
    </xf>
    <xf numFmtId="0" fontId="9" fillId="0" borderId="0" xfId="0" applyFont="1"/>
    <xf numFmtId="0" fontId="10" fillId="0" borderId="0" xfId="0" applyFont="1" applyAlignment="1">
      <alignment vertical="center"/>
    </xf>
    <xf numFmtId="0" fontId="5" fillId="10" borderId="0" xfId="0" applyFont="1" applyFill="1" applyAlignment="1">
      <alignment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0" fillId="7" borderId="13" xfId="0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vertical="center" wrapText="1"/>
    </xf>
    <xf numFmtId="0" fontId="0" fillId="12" borderId="13" xfId="0" applyFill="1" applyBorder="1" applyAlignment="1">
      <alignment horizontal="center" vertical="center" wrapText="1"/>
    </xf>
    <xf numFmtId="0" fontId="4" fillId="9" borderId="17" xfId="0" applyFont="1" applyFill="1" applyBorder="1" applyAlignment="1">
      <alignment vertical="center" wrapText="1"/>
    </xf>
    <xf numFmtId="0" fontId="0" fillId="12" borderId="17" xfId="0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center" vertical="center" wrapText="1"/>
    </xf>
    <xf numFmtId="0" fontId="0" fillId="12" borderId="11" xfId="0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12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11" borderId="13" xfId="0" applyFill="1" applyBorder="1" applyAlignment="1">
      <alignment horizontal="center" vertical="center" wrapText="1"/>
    </xf>
    <xf numFmtId="0" fontId="0" fillId="11" borderId="11" xfId="0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5" fillId="12" borderId="13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0" fillId="12" borderId="17" xfId="0" applyFill="1" applyBorder="1" applyAlignment="1">
      <alignment vertical="center" wrapText="1"/>
    </xf>
    <xf numFmtId="0" fontId="0" fillId="10" borderId="17" xfId="0" applyFill="1" applyBorder="1" applyAlignment="1">
      <alignment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5" fillId="12" borderId="11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/>
    </xf>
    <xf numFmtId="0" fontId="5" fillId="10" borderId="11" xfId="0" applyFont="1" applyFill="1" applyBorder="1" applyAlignment="1">
      <alignment horizontal="left" vertical="center" wrapText="1"/>
    </xf>
    <xf numFmtId="0" fontId="5" fillId="12" borderId="14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9" borderId="15" xfId="0" applyFont="1" applyFill="1" applyBorder="1" applyAlignment="1">
      <alignment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13" borderId="11" xfId="0" applyFont="1" applyFill="1" applyBorder="1" applyAlignment="1">
      <alignment horizontal="center" vertical="center" wrapText="1"/>
    </xf>
    <xf numFmtId="0" fontId="0" fillId="12" borderId="16" xfId="0" applyFill="1" applyBorder="1" applyAlignment="1">
      <alignment horizontal="center" vertical="center" wrapText="1"/>
    </xf>
    <xf numFmtId="0" fontId="4" fillId="0" borderId="43" xfId="0" applyFont="1" applyBorder="1" applyAlignment="1">
      <alignment vertical="center" wrapText="1"/>
    </xf>
    <xf numFmtId="0" fontId="0" fillId="0" borderId="43" xfId="0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0" fillId="11" borderId="16" xfId="0" applyFill="1" applyBorder="1" applyAlignment="1">
      <alignment horizontal="center" vertical="center" wrapText="1"/>
    </xf>
    <xf numFmtId="0" fontId="5" fillId="12" borderId="16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43" xfId="0" applyFont="1" applyBorder="1" applyAlignment="1">
      <alignment vertical="center" wrapText="1"/>
    </xf>
    <xf numFmtId="0" fontId="5" fillId="0" borderId="43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5" fillId="0" borderId="22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13" borderId="22" xfId="0" applyFont="1" applyFill="1" applyBorder="1" applyAlignment="1">
      <alignment horizontal="center" vertical="center" wrapText="1"/>
    </xf>
    <xf numFmtId="0" fontId="15" fillId="13" borderId="39" xfId="0" applyFont="1" applyFill="1" applyBorder="1" applyAlignment="1">
      <alignment horizontal="center" vertical="center" wrapText="1"/>
    </xf>
    <xf numFmtId="0" fontId="15" fillId="13" borderId="23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  <xf numFmtId="0" fontId="4" fillId="3" borderId="15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14" fillId="0" borderId="42" xfId="0" applyFont="1" applyBorder="1" applyAlignment="1">
      <alignment horizontal="center"/>
    </xf>
    <xf numFmtId="0" fontId="15" fillId="0" borderId="16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33" xfId="0" applyFont="1" applyFill="1" applyBorder="1" applyAlignment="1">
      <alignment horizontal="center" vertical="center" wrapText="1"/>
    </xf>
    <xf numFmtId="0" fontId="4" fillId="3" borderId="34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vertical="center" wrapText="1"/>
    </xf>
    <xf numFmtId="0" fontId="4" fillId="6" borderId="7" xfId="0" applyFont="1" applyFill="1" applyBorder="1" applyAlignment="1">
      <alignment vertical="center" wrapText="1"/>
    </xf>
    <xf numFmtId="0" fontId="4" fillId="6" borderId="12" xfId="0" applyFont="1" applyFill="1" applyBorder="1" applyAlignment="1">
      <alignment vertical="center" wrapText="1"/>
    </xf>
    <xf numFmtId="0" fontId="4" fillId="6" borderId="3" xfId="0" applyFont="1" applyFill="1" applyBorder="1" applyAlignment="1">
      <alignment vertical="center" wrapText="1"/>
    </xf>
    <xf numFmtId="0" fontId="4" fillId="6" borderId="13" xfId="0" applyFont="1" applyFill="1" applyBorder="1" applyAlignment="1">
      <alignment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vertical="center" wrapText="1"/>
    </xf>
    <xf numFmtId="0" fontId="5" fillId="6" borderId="11" xfId="0" applyFont="1" applyFill="1" applyBorder="1" applyAlignment="1">
      <alignment vertical="center" wrapText="1"/>
    </xf>
    <xf numFmtId="0" fontId="4" fillId="3" borderId="22" xfId="0" applyFont="1" applyFill="1" applyBorder="1" applyAlignment="1">
      <alignment vertical="center" wrapText="1"/>
    </xf>
    <xf numFmtId="0" fontId="4" fillId="3" borderId="23" xfId="0" applyFont="1" applyFill="1" applyBorder="1" applyAlignment="1">
      <alignment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9" borderId="11" xfId="0" applyFont="1" applyFill="1" applyBorder="1" applyAlignment="1">
      <alignment horizontal="center" vertical="center" wrapText="1"/>
    </xf>
    <xf numFmtId="0" fontId="4" fillId="9" borderId="17" xfId="0" applyFont="1" applyFill="1" applyBorder="1" applyAlignment="1">
      <alignment horizontal="center"/>
    </xf>
    <xf numFmtId="0" fontId="4" fillId="9" borderId="18" xfId="0" applyFont="1" applyFill="1" applyBorder="1" applyAlignment="1">
      <alignment horizontal="center"/>
    </xf>
    <xf numFmtId="0" fontId="4" fillId="9" borderId="19" xfId="0" applyFont="1" applyFill="1" applyBorder="1" applyAlignment="1">
      <alignment horizontal="center"/>
    </xf>
    <xf numFmtId="0" fontId="4" fillId="8" borderId="13" xfId="0" applyFont="1" applyFill="1" applyBorder="1" applyAlignment="1">
      <alignment vertical="center" wrapText="1"/>
    </xf>
    <xf numFmtId="0" fontId="0" fillId="8" borderId="7" xfId="0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0" fillId="0" borderId="25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4" fillId="9" borderId="16" xfId="0" applyFont="1" applyFill="1" applyBorder="1" applyAlignment="1">
      <alignment horizontal="center" vertical="center" wrapText="1"/>
    </xf>
    <xf numFmtId="0" fontId="4" fillId="9" borderId="20" xfId="0" applyFont="1" applyFill="1" applyBorder="1" applyAlignment="1">
      <alignment horizontal="center" vertical="center" wrapText="1"/>
    </xf>
    <xf numFmtId="0" fontId="4" fillId="9" borderId="21" xfId="0" applyFont="1" applyFill="1" applyBorder="1" applyAlignment="1">
      <alignment horizontal="center" vertical="center" wrapText="1"/>
    </xf>
    <xf numFmtId="0" fontId="4" fillId="9" borderId="35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9" borderId="3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vertical="center" wrapText="1"/>
    </xf>
    <xf numFmtId="0" fontId="4" fillId="8" borderId="3" xfId="0" applyFont="1" applyFill="1" applyBorder="1" applyAlignment="1">
      <alignment vertical="center" wrapText="1"/>
    </xf>
    <xf numFmtId="0" fontId="4" fillId="9" borderId="17" xfId="0" applyFont="1" applyFill="1" applyBorder="1" applyAlignment="1">
      <alignment horizontal="center" vertical="center" wrapText="1"/>
    </xf>
    <xf numFmtId="0" fontId="4" fillId="9" borderId="18" xfId="0" applyFont="1" applyFill="1" applyBorder="1" applyAlignment="1">
      <alignment horizontal="center" vertical="center" wrapText="1"/>
    </xf>
    <xf numFmtId="0" fontId="4" fillId="9" borderId="19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vertical="center" wrapText="1"/>
    </xf>
    <xf numFmtId="0" fontId="4" fillId="9" borderId="17" xfId="0" applyFont="1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7" fillId="8" borderId="11" xfId="0" applyFont="1" applyFill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vertical="center" wrapText="1"/>
    </xf>
    <xf numFmtId="0" fontId="7" fillId="8" borderId="12" xfId="0" applyFont="1" applyFill="1" applyBorder="1" applyAlignment="1">
      <alignment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7" fillId="9" borderId="17" xfId="0" applyFont="1" applyFill="1" applyBorder="1" applyAlignment="1">
      <alignment horizontal="center" vertical="center"/>
    </xf>
    <xf numFmtId="0" fontId="7" fillId="9" borderId="18" xfId="0" applyFont="1" applyFill="1" applyBorder="1" applyAlignment="1">
      <alignment horizontal="center" vertical="center"/>
    </xf>
    <xf numFmtId="0" fontId="7" fillId="9" borderId="19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vertical="center" wrapText="1"/>
    </xf>
    <xf numFmtId="0" fontId="7" fillId="8" borderId="3" xfId="0" applyFont="1" applyFill="1" applyBorder="1" applyAlignment="1">
      <alignment vertical="center" wrapText="1"/>
    </xf>
    <xf numFmtId="0" fontId="7" fillId="9" borderId="16" xfId="0" applyFont="1" applyFill="1" applyBorder="1" applyAlignment="1">
      <alignment horizontal="center" vertical="center" wrapText="1"/>
    </xf>
    <xf numFmtId="0" fontId="7" fillId="9" borderId="20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0" fontId="7" fillId="9" borderId="17" xfId="0" applyFont="1" applyFill="1" applyBorder="1" applyAlignment="1">
      <alignment horizontal="center" vertical="center" wrapText="1"/>
    </xf>
    <xf numFmtId="0" fontId="7" fillId="9" borderId="18" xfId="0" applyFont="1" applyFill="1" applyBorder="1" applyAlignment="1">
      <alignment horizontal="center" vertical="center" wrapText="1"/>
    </xf>
    <xf numFmtId="0" fontId="7" fillId="9" borderId="19" xfId="0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vertical="center" wrapText="1"/>
    </xf>
    <xf numFmtId="0" fontId="7" fillId="8" borderId="37" xfId="0" applyFont="1" applyFill="1" applyBorder="1" applyAlignment="1">
      <alignment horizontal="center" vertical="center" wrapText="1"/>
    </xf>
    <xf numFmtId="0" fontId="7" fillId="8" borderId="38" xfId="0" applyFont="1" applyFill="1" applyBorder="1" applyAlignment="1">
      <alignment horizontal="center" vertical="center" wrapText="1"/>
    </xf>
    <xf numFmtId="0" fontId="7" fillId="9" borderId="15" xfId="0" applyFont="1" applyFill="1" applyBorder="1" applyAlignment="1">
      <alignment horizontal="center" vertical="center" wrapText="1"/>
    </xf>
    <xf numFmtId="0" fontId="7" fillId="8" borderId="16" xfId="0" applyFont="1" applyFill="1" applyBorder="1" applyAlignment="1">
      <alignment horizontal="center" vertical="center" wrapText="1"/>
    </xf>
    <xf numFmtId="0" fontId="7" fillId="8" borderId="21" xfId="0" applyFont="1" applyFill="1" applyBorder="1" applyAlignment="1">
      <alignment horizontal="center" vertical="center" wrapText="1"/>
    </xf>
    <xf numFmtId="0" fontId="7" fillId="8" borderId="40" xfId="0" applyFont="1" applyFill="1" applyBorder="1" applyAlignment="1">
      <alignment horizontal="center" vertical="center" wrapText="1"/>
    </xf>
    <xf numFmtId="0" fontId="7" fillId="8" borderId="4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3" xfId="0" applyBorder="1" applyAlignment="1">
      <alignment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754380</xdr:colOff>
      <xdr:row>182</xdr:row>
      <xdr:rowOff>137160</xdr:rowOff>
    </xdr:from>
    <xdr:to>
      <xdr:col>19</xdr:col>
      <xdr:colOff>500380</xdr:colOff>
      <xdr:row>193</xdr:row>
      <xdr:rowOff>11430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8CE1F20-20E3-310E-56D1-98A960021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48260" y="31912560"/>
          <a:ext cx="2915920" cy="18859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83"/>
  <sheetViews>
    <sheetView zoomScale="70" zoomScaleNormal="70" workbookViewId="0">
      <selection activeCell="E26" sqref="E26"/>
    </sheetView>
  </sheetViews>
  <sheetFormatPr baseColWidth="10" defaultColWidth="8.88671875" defaultRowHeight="14.4" x14ac:dyDescent="0.3"/>
  <cols>
    <col min="2" max="3" width="17.21875" customWidth="1"/>
    <col min="4" max="8" width="14.44140625" customWidth="1"/>
    <col min="9" max="9" width="10.77734375" customWidth="1"/>
    <col min="10" max="10" width="12.109375" customWidth="1"/>
  </cols>
  <sheetData>
    <row r="1" spans="1:66" ht="25.2" customHeight="1" x14ac:dyDescent="0.3">
      <c r="A1" s="1" t="s">
        <v>0</v>
      </c>
    </row>
    <row r="2" spans="1:66" ht="24.6" customHeight="1" x14ac:dyDescent="0.3">
      <c r="A2" s="1" t="s">
        <v>1</v>
      </c>
    </row>
    <row r="3" spans="1:66" ht="22.2" customHeight="1" x14ac:dyDescent="0.3">
      <c r="A3" s="1" t="s">
        <v>2</v>
      </c>
      <c r="D3" t="s">
        <v>78</v>
      </c>
    </row>
    <row r="4" spans="1:66" ht="25.8" customHeight="1" x14ac:dyDescent="0.3">
      <c r="A4" s="1" t="s">
        <v>3</v>
      </c>
      <c r="D4" t="s">
        <v>76</v>
      </c>
    </row>
    <row r="5" spans="1:66" ht="20.399999999999999" customHeight="1" x14ac:dyDescent="0.3">
      <c r="A5" s="1" t="s">
        <v>4</v>
      </c>
      <c r="D5" t="s">
        <v>77</v>
      </c>
    </row>
    <row r="6" spans="1:66" ht="24" customHeight="1" x14ac:dyDescent="0.3">
      <c r="A6" s="112" t="s">
        <v>5</v>
      </c>
    </row>
    <row r="7" spans="1:66" ht="43.2" x14ac:dyDescent="0.3">
      <c r="A7" s="218" t="s">
        <v>6</v>
      </c>
      <c r="B7" s="40" t="s">
        <v>18</v>
      </c>
      <c r="C7" s="218" t="s">
        <v>7</v>
      </c>
      <c r="D7" s="220" t="s">
        <v>8</v>
      </c>
      <c r="E7" s="218" t="s">
        <v>9</v>
      </c>
      <c r="F7" s="218" t="s">
        <v>10</v>
      </c>
    </row>
    <row r="8" spans="1:66" ht="13.2" hidden="1" customHeight="1" x14ac:dyDescent="0.3">
      <c r="A8" s="218"/>
      <c r="B8" s="40"/>
      <c r="C8" s="218"/>
      <c r="D8" s="221"/>
      <c r="E8" s="218"/>
      <c r="F8" s="218"/>
    </row>
    <row r="9" spans="1:66" ht="16.2" thickBot="1" x14ac:dyDescent="0.35">
      <c r="A9" s="25">
        <v>1</v>
      </c>
      <c r="B9" s="111" t="s">
        <v>44</v>
      </c>
      <c r="C9" s="25">
        <v>0</v>
      </c>
      <c r="D9" s="25">
        <v>17</v>
      </c>
      <c r="E9" s="25">
        <v>13</v>
      </c>
      <c r="F9" s="25">
        <v>30</v>
      </c>
    </row>
    <row r="10" spans="1:66" ht="15.6" x14ac:dyDescent="0.3">
      <c r="A10" s="25">
        <v>2</v>
      </c>
      <c r="B10" s="111" t="s">
        <v>45</v>
      </c>
      <c r="C10" s="25">
        <v>4</v>
      </c>
      <c r="D10" s="25">
        <v>77</v>
      </c>
      <c r="E10" s="25">
        <v>40</v>
      </c>
      <c r="F10" s="25">
        <v>121</v>
      </c>
      <c r="BJ10" s="2"/>
      <c r="BK10" s="2"/>
    </row>
    <row r="11" spans="1:66" ht="16.2" thickBot="1" x14ac:dyDescent="0.35">
      <c r="A11" s="25">
        <v>3</v>
      </c>
      <c r="B11" s="111" t="s">
        <v>46</v>
      </c>
      <c r="C11" s="25">
        <v>0</v>
      </c>
      <c r="D11" s="25">
        <v>87</v>
      </c>
      <c r="E11" s="25">
        <v>48</v>
      </c>
      <c r="F11" s="25">
        <v>135</v>
      </c>
      <c r="BJ11" s="5"/>
      <c r="BK11" s="5"/>
    </row>
    <row r="12" spans="1:66" ht="16.2" thickBot="1" x14ac:dyDescent="0.35">
      <c r="A12" s="25">
        <v>4</v>
      </c>
      <c r="B12" s="111" t="s">
        <v>47</v>
      </c>
      <c r="C12" s="25">
        <v>0</v>
      </c>
      <c r="D12" s="25">
        <v>1</v>
      </c>
      <c r="E12" s="25">
        <v>0</v>
      </c>
      <c r="F12" s="25">
        <v>1</v>
      </c>
      <c r="BJ12" s="4"/>
      <c r="BK12" s="4"/>
      <c r="BL12" s="4"/>
      <c r="BM12" s="4"/>
      <c r="BN12" s="4"/>
    </row>
    <row r="13" spans="1:66" ht="16.2" thickBot="1" x14ac:dyDescent="0.35">
      <c r="A13" s="25">
        <v>5</v>
      </c>
      <c r="B13" s="111" t="s">
        <v>48</v>
      </c>
      <c r="C13" s="25">
        <v>0</v>
      </c>
      <c r="D13" s="25">
        <v>0</v>
      </c>
      <c r="E13" s="25">
        <v>1</v>
      </c>
      <c r="F13" s="25">
        <v>1</v>
      </c>
      <c r="BJ13" s="4"/>
      <c r="BK13" s="4"/>
      <c r="BL13" s="4"/>
      <c r="BM13" s="4"/>
      <c r="BN13" s="4"/>
    </row>
    <row r="14" spans="1:66" ht="16.2" thickBot="1" x14ac:dyDescent="0.35">
      <c r="A14" s="25">
        <v>6</v>
      </c>
      <c r="B14" s="111" t="s">
        <v>49</v>
      </c>
      <c r="C14" s="25">
        <v>0</v>
      </c>
      <c r="D14" s="25">
        <v>1</v>
      </c>
      <c r="E14" s="25">
        <v>1</v>
      </c>
      <c r="F14" s="25">
        <v>2</v>
      </c>
      <c r="BJ14" s="4"/>
      <c r="BK14" s="4"/>
      <c r="BL14" s="4"/>
      <c r="BM14" s="4"/>
      <c r="BN14" s="4"/>
    </row>
    <row r="15" spans="1:66" ht="16.2" thickBot="1" x14ac:dyDescent="0.35">
      <c r="A15" s="25">
        <v>7</v>
      </c>
      <c r="B15" s="111" t="s">
        <v>50</v>
      </c>
      <c r="C15" s="25">
        <v>1</v>
      </c>
      <c r="D15" s="25">
        <v>5</v>
      </c>
      <c r="E15" s="25">
        <v>3</v>
      </c>
      <c r="F15" s="25">
        <v>9</v>
      </c>
      <c r="BJ15" s="4"/>
      <c r="BK15" s="4"/>
      <c r="BL15" s="4"/>
      <c r="BM15" s="4"/>
      <c r="BN15" s="4"/>
    </row>
    <row r="16" spans="1:66" ht="16.2" thickBot="1" x14ac:dyDescent="0.35">
      <c r="A16" s="219" t="s">
        <v>10</v>
      </c>
      <c r="B16" s="219"/>
      <c r="C16" s="110">
        <f>SUM(C9:C15)</f>
        <v>5</v>
      </c>
      <c r="D16" s="110">
        <f>SUM(D9:D15)</f>
        <v>188</v>
      </c>
      <c r="E16" s="110">
        <f>SUM(E9:E15)</f>
        <v>106</v>
      </c>
      <c r="F16" s="110">
        <f>SUM(F9:F15)</f>
        <v>299</v>
      </c>
      <c r="BJ16" s="4"/>
      <c r="BK16" s="4"/>
      <c r="BL16" s="4"/>
      <c r="BM16" s="4"/>
      <c r="BN16" s="4"/>
    </row>
    <row r="17" spans="1:82" ht="15" thickBot="1" x14ac:dyDescent="0.35">
      <c r="A17" s="1"/>
      <c r="BJ17" s="4"/>
      <c r="BK17" s="4"/>
      <c r="BL17" s="4"/>
      <c r="BM17" s="4"/>
      <c r="BN17" s="4"/>
    </row>
    <row r="18" spans="1:82" ht="15" thickBot="1" x14ac:dyDescent="0.35">
      <c r="A18" s="113" t="s">
        <v>11</v>
      </c>
      <c r="BJ18" s="4"/>
      <c r="BK18" s="4"/>
      <c r="BL18" s="4"/>
      <c r="BM18" s="4"/>
      <c r="BN18" s="4"/>
    </row>
    <row r="19" spans="1:82" ht="15" thickBot="1" x14ac:dyDescent="0.35">
      <c r="A19" s="117" t="s">
        <v>12</v>
      </c>
      <c r="BJ19" s="4"/>
      <c r="BK19" s="4"/>
      <c r="BL19" s="4"/>
      <c r="BM19" s="4"/>
      <c r="BN19" s="4"/>
    </row>
    <row r="20" spans="1:82" ht="43.2" x14ac:dyDescent="0.3">
      <c r="A20" s="114" t="s">
        <v>6</v>
      </c>
      <c r="B20" s="38" t="s">
        <v>18</v>
      </c>
      <c r="C20" s="114" t="s">
        <v>80</v>
      </c>
      <c r="D20" s="114" t="s">
        <v>14</v>
      </c>
      <c r="E20" s="114" t="s">
        <v>15</v>
      </c>
      <c r="F20" s="114" t="s">
        <v>10</v>
      </c>
      <c r="BZ20" s="2"/>
      <c r="CA20" s="2"/>
    </row>
    <row r="21" spans="1:82" ht="15" thickBot="1" x14ac:dyDescent="0.35">
      <c r="A21" s="116">
        <v>1</v>
      </c>
      <c r="B21" s="32" t="s">
        <v>44</v>
      </c>
      <c r="C21" s="19">
        <v>0</v>
      </c>
      <c r="D21" s="19">
        <v>0</v>
      </c>
      <c r="E21" s="19">
        <v>0</v>
      </c>
      <c r="F21" s="19">
        <v>0</v>
      </c>
      <c r="BZ21" s="4"/>
      <c r="CA21" s="4"/>
      <c r="CB21" s="4"/>
      <c r="CC21" s="4"/>
      <c r="CD21" s="4"/>
    </row>
    <row r="22" spans="1:82" ht="15" thickBot="1" x14ac:dyDescent="0.35">
      <c r="A22" s="116">
        <v>2</v>
      </c>
      <c r="B22" s="32" t="s">
        <v>45</v>
      </c>
      <c r="C22" s="19">
        <v>4</v>
      </c>
      <c r="D22" s="19">
        <v>4</v>
      </c>
      <c r="E22" s="19">
        <v>4</v>
      </c>
      <c r="F22" s="19">
        <v>12</v>
      </c>
      <c r="BZ22" s="4"/>
      <c r="CA22" s="4"/>
      <c r="CB22" s="4"/>
      <c r="CC22" s="4"/>
      <c r="CD22" s="4"/>
    </row>
    <row r="23" spans="1:82" ht="15" thickBot="1" x14ac:dyDescent="0.35">
      <c r="A23" s="116">
        <v>3</v>
      </c>
      <c r="B23" s="32" t="s">
        <v>46</v>
      </c>
      <c r="C23" s="19">
        <v>0</v>
      </c>
      <c r="D23" s="19">
        <v>0</v>
      </c>
      <c r="E23" s="19">
        <v>0</v>
      </c>
      <c r="F23" s="19">
        <v>0</v>
      </c>
      <c r="BZ23" s="4"/>
      <c r="CA23" s="4"/>
      <c r="CB23" s="4"/>
      <c r="CC23" s="4"/>
      <c r="CD23" s="4"/>
    </row>
    <row r="24" spans="1:82" ht="15" thickBot="1" x14ac:dyDescent="0.35">
      <c r="A24" s="116">
        <v>4</v>
      </c>
      <c r="B24" s="32" t="s">
        <v>47</v>
      </c>
      <c r="C24" s="19">
        <v>0</v>
      </c>
      <c r="D24" s="19">
        <v>0</v>
      </c>
      <c r="E24" s="19">
        <v>0</v>
      </c>
      <c r="F24" s="19">
        <v>0</v>
      </c>
      <c r="BZ24" s="4"/>
      <c r="CA24" s="4"/>
      <c r="CB24" s="4"/>
      <c r="CC24" s="4"/>
      <c r="CD24" s="4"/>
    </row>
    <row r="25" spans="1:82" ht="15" thickBot="1" x14ac:dyDescent="0.35">
      <c r="A25" s="116">
        <v>5</v>
      </c>
      <c r="B25" s="32" t="s">
        <v>48</v>
      </c>
      <c r="C25" s="19">
        <v>0</v>
      </c>
      <c r="D25" s="19">
        <v>0</v>
      </c>
      <c r="E25" s="19">
        <v>0</v>
      </c>
      <c r="F25" s="19">
        <v>0</v>
      </c>
      <c r="BZ25" s="4"/>
      <c r="CA25" s="4"/>
      <c r="CB25" s="4"/>
      <c r="CC25" s="4"/>
      <c r="CD25" s="4"/>
    </row>
    <row r="26" spans="1:82" ht="15" thickBot="1" x14ac:dyDescent="0.35">
      <c r="A26" s="116">
        <v>6</v>
      </c>
      <c r="B26" s="32" t="s">
        <v>49</v>
      </c>
      <c r="C26" s="19">
        <v>0</v>
      </c>
      <c r="D26" s="19">
        <v>0</v>
      </c>
      <c r="E26" s="19">
        <v>0</v>
      </c>
      <c r="F26" s="19">
        <v>0</v>
      </c>
      <c r="BZ26" s="4"/>
      <c r="CA26" s="4"/>
      <c r="CB26" s="4"/>
      <c r="CC26" s="4"/>
      <c r="CD26" s="4"/>
    </row>
    <row r="27" spans="1:82" ht="15" thickBot="1" x14ac:dyDescent="0.35">
      <c r="A27" s="116">
        <v>7</v>
      </c>
      <c r="B27" s="32" t="s">
        <v>50</v>
      </c>
      <c r="C27" s="19">
        <v>1</v>
      </c>
      <c r="D27" s="19">
        <v>1</v>
      </c>
      <c r="E27" s="19">
        <v>1</v>
      </c>
      <c r="F27" s="19">
        <v>3</v>
      </c>
      <c r="BZ27" s="4"/>
      <c r="CA27" s="4"/>
      <c r="CB27" s="4"/>
      <c r="CC27" s="4"/>
      <c r="CD27" s="4"/>
    </row>
    <row r="28" spans="1:82" ht="15" thickBot="1" x14ac:dyDescent="0.35">
      <c r="A28" s="210" t="s">
        <v>10</v>
      </c>
      <c r="B28" s="212"/>
      <c r="C28" s="115">
        <f>SUM(C21:C27)</f>
        <v>5</v>
      </c>
      <c r="D28" s="115">
        <f>SUM(D21:D27)</f>
        <v>5</v>
      </c>
      <c r="E28" s="115">
        <f>SUM(E21:E27)</f>
        <v>5</v>
      </c>
      <c r="F28" s="115">
        <f>SUM(F21:F27)</f>
        <v>15</v>
      </c>
      <c r="BZ28" s="4"/>
      <c r="CA28" s="4"/>
      <c r="CB28" s="4"/>
      <c r="CC28" s="4"/>
      <c r="CD28" s="4"/>
    </row>
    <row r="29" spans="1:82" x14ac:dyDescent="0.3">
      <c r="A29" s="8"/>
    </row>
    <row r="30" spans="1:82" ht="30.6" customHeight="1" x14ac:dyDescent="0.3">
      <c r="A30" s="117" t="s">
        <v>109</v>
      </c>
    </row>
    <row r="31" spans="1:82" ht="43.2" x14ac:dyDescent="0.3">
      <c r="A31" s="40" t="s">
        <v>6</v>
      </c>
      <c r="B31" s="48" t="s">
        <v>18</v>
      </c>
      <c r="C31" s="205" t="s">
        <v>51</v>
      </c>
      <c r="D31" s="206"/>
      <c r="E31" s="208" t="s">
        <v>52</v>
      </c>
      <c r="F31" s="208"/>
      <c r="G31" s="208" t="s">
        <v>53</v>
      </c>
      <c r="H31" s="208"/>
      <c r="I31" s="205" t="s">
        <v>10</v>
      </c>
      <c r="J31" s="207"/>
      <c r="K31" s="206"/>
    </row>
    <row r="32" spans="1:82" x14ac:dyDescent="0.3">
      <c r="A32" s="42"/>
      <c r="B32" s="49"/>
      <c r="C32" s="120" t="s">
        <v>29</v>
      </c>
      <c r="D32" s="120" t="s">
        <v>30</v>
      </c>
      <c r="E32" s="120" t="s">
        <v>29</v>
      </c>
      <c r="F32" s="120" t="s">
        <v>30</v>
      </c>
      <c r="G32" s="120" t="s">
        <v>29</v>
      </c>
      <c r="H32" s="120" t="s">
        <v>30</v>
      </c>
      <c r="I32" s="120" t="s">
        <v>29</v>
      </c>
      <c r="J32" s="120" t="s">
        <v>30</v>
      </c>
      <c r="K32" s="120" t="s">
        <v>62</v>
      </c>
    </row>
    <row r="33" spans="1:76" x14ac:dyDescent="0.3">
      <c r="A33" s="18">
        <v>1</v>
      </c>
      <c r="B33" s="33" t="s">
        <v>44</v>
      </c>
      <c r="C33" s="20">
        <v>0</v>
      </c>
      <c r="D33" s="20">
        <v>0</v>
      </c>
      <c r="E33" s="20"/>
      <c r="F33" s="20">
        <v>0</v>
      </c>
      <c r="G33" s="20">
        <v>0</v>
      </c>
      <c r="H33" s="20">
        <v>0</v>
      </c>
      <c r="I33" s="20">
        <f>G33+E33+C33</f>
        <v>0</v>
      </c>
      <c r="J33" s="20">
        <f>H33+F33+D33</f>
        <v>0</v>
      </c>
      <c r="K33" s="20">
        <f>J33+I33</f>
        <v>0</v>
      </c>
    </row>
    <row r="34" spans="1:76" ht="15" thickBot="1" x14ac:dyDescent="0.35">
      <c r="A34" s="116">
        <v>2</v>
      </c>
      <c r="B34" s="34" t="s">
        <v>45</v>
      </c>
      <c r="C34" s="19">
        <v>49</v>
      </c>
      <c r="D34" s="19">
        <v>57</v>
      </c>
      <c r="E34" s="19">
        <v>53</v>
      </c>
      <c r="F34" s="19">
        <v>55</v>
      </c>
      <c r="G34" s="20">
        <v>45</v>
      </c>
      <c r="H34" s="20">
        <v>49</v>
      </c>
      <c r="I34" s="20">
        <f t="shared" ref="I34:J39" si="0">G34+E34+C34</f>
        <v>147</v>
      </c>
      <c r="J34" s="20">
        <f t="shared" si="0"/>
        <v>161</v>
      </c>
      <c r="K34" s="20">
        <f t="shared" ref="K34:K39" si="1">J34+I34</f>
        <v>308</v>
      </c>
    </row>
    <row r="35" spans="1:76" ht="15" thickBot="1" x14ac:dyDescent="0.35">
      <c r="A35" s="116">
        <v>3</v>
      </c>
      <c r="B35" s="34" t="s">
        <v>46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f t="shared" si="0"/>
        <v>0</v>
      </c>
      <c r="J35" s="20">
        <f t="shared" si="0"/>
        <v>0</v>
      </c>
      <c r="K35" s="20">
        <f t="shared" si="1"/>
        <v>0</v>
      </c>
    </row>
    <row r="36" spans="1:76" ht="15" thickBot="1" x14ac:dyDescent="0.35">
      <c r="A36" s="116">
        <v>4</v>
      </c>
      <c r="B36" s="34" t="s">
        <v>47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f t="shared" si="0"/>
        <v>0</v>
      </c>
      <c r="J36" s="20">
        <f t="shared" si="0"/>
        <v>0</v>
      </c>
      <c r="K36" s="20">
        <f t="shared" si="1"/>
        <v>0</v>
      </c>
    </row>
    <row r="37" spans="1:76" ht="15" thickBot="1" x14ac:dyDescent="0.35">
      <c r="A37" s="116">
        <v>5</v>
      </c>
      <c r="B37" s="34" t="s">
        <v>48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f t="shared" si="0"/>
        <v>0</v>
      </c>
      <c r="J37" s="20">
        <f t="shared" si="0"/>
        <v>0</v>
      </c>
      <c r="K37" s="20">
        <f t="shared" si="1"/>
        <v>0</v>
      </c>
    </row>
    <row r="38" spans="1:76" ht="15" thickBot="1" x14ac:dyDescent="0.35">
      <c r="A38" s="116">
        <v>6</v>
      </c>
      <c r="B38" s="34" t="s">
        <v>49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f t="shared" si="0"/>
        <v>0</v>
      </c>
      <c r="J38" s="20">
        <f t="shared" si="0"/>
        <v>0</v>
      </c>
      <c r="K38" s="20">
        <f t="shared" si="1"/>
        <v>0</v>
      </c>
      <c r="BM38" s="13"/>
      <c r="BN38" s="13"/>
      <c r="BP38" s="13"/>
      <c r="BQ38" s="13"/>
    </row>
    <row r="39" spans="1:76" ht="15" thickBot="1" x14ac:dyDescent="0.35">
      <c r="A39" s="116">
        <v>7</v>
      </c>
      <c r="B39" s="34" t="s">
        <v>50</v>
      </c>
      <c r="C39" s="20">
        <v>5</v>
      </c>
      <c r="D39" s="20">
        <v>4</v>
      </c>
      <c r="E39" s="20">
        <v>3</v>
      </c>
      <c r="F39" s="20">
        <v>2</v>
      </c>
      <c r="G39" s="20">
        <v>1</v>
      </c>
      <c r="H39" s="20">
        <v>3</v>
      </c>
      <c r="I39" s="20">
        <f t="shared" si="0"/>
        <v>9</v>
      </c>
      <c r="J39" s="20">
        <f t="shared" si="0"/>
        <v>9</v>
      </c>
      <c r="K39" s="20">
        <f t="shared" si="1"/>
        <v>18</v>
      </c>
      <c r="BL39" s="13" t="s">
        <v>29</v>
      </c>
      <c r="BM39" s="13"/>
      <c r="BN39" s="13" t="s">
        <v>30</v>
      </c>
      <c r="BO39" s="13" t="s">
        <v>29</v>
      </c>
      <c r="BP39" s="13" t="s">
        <v>30</v>
      </c>
      <c r="BQ39" s="13" t="s">
        <v>54</v>
      </c>
    </row>
    <row r="40" spans="1:76" ht="15" thickBot="1" x14ac:dyDescent="0.35">
      <c r="A40" s="210" t="s">
        <v>10</v>
      </c>
      <c r="B40" s="211"/>
      <c r="C40" s="119">
        <f>SUM(C33:C39)</f>
        <v>54</v>
      </c>
      <c r="D40" s="119">
        <f t="shared" ref="D40:K40" si="2">SUM(D33:D39)</f>
        <v>61</v>
      </c>
      <c r="E40" s="119">
        <f t="shared" si="2"/>
        <v>56</v>
      </c>
      <c r="F40" s="119">
        <f t="shared" si="2"/>
        <v>57</v>
      </c>
      <c r="G40" s="119">
        <f t="shared" si="2"/>
        <v>46</v>
      </c>
      <c r="H40" s="119">
        <f t="shared" si="2"/>
        <v>52</v>
      </c>
      <c r="I40" s="119">
        <f t="shared" si="2"/>
        <v>156</v>
      </c>
      <c r="J40" s="119">
        <f t="shared" si="2"/>
        <v>170</v>
      </c>
      <c r="K40" s="119">
        <f t="shared" si="2"/>
        <v>326</v>
      </c>
      <c r="BL40" s="13"/>
      <c r="BM40" s="13"/>
      <c r="BN40" s="13"/>
      <c r="BO40" s="13"/>
      <c r="BP40" s="13"/>
      <c r="BQ40" s="13"/>
    </row>
    <row r="41" spans="1:76" ht="15" thickBot="1" x14ac:dyDescent="0.35">
      <c r="A41" s="8"/>
      <c r="BL41" s="4"/>
      <c r="BM41" s="4"/>
      <c r="BN41" s="4"/>
      <c r="BO41" s="4"/>
      <c r="BP41" s="4"/>
      <c r="BQ41" s="4"/>
    </row>
    <row r="42" spans="1:76" ht="20.399999999999999" customHeight="1" thickBot="1" x14ac:dyDescent="0.35">
      <c r="A42" s="112" t="s">
        <v>17</v>
      </c>
      <c r="BL42" s="4"/>
      <c r="BM42" s="4"/>
      <c r="BN42" s="4"/>
      <c r="BO42" s="4"/>
      <c r="BP42" s="4"/>
      <c r="BQ42" s="4"/>
      <c r="BW42" s="9"/>
      <c r="BX42" s="3"/>
    </row>
    <row r="43" spans="1:76" ht="43.8" thickBot="1" x14ac:dyDescent="0.35">
      <c r="A43" s="46" t="s">
        <v>6</v>
      </c>
      <c r="B43" s="46" t="s">
        <v>18</v>
      </c>
      <c r="C43" s="205" t="s">
        <v>64</v>
      </c>
      <c r="D43" s="206"/>
      <c r="E43" s="208" t="s">
        <v>63</v>
      </c>
      <c r="F43" s="208"/>
      <c r="G43" s="208" t="s">
        <v>65</v>
      </c>
      <c r="H43" s="208"/>
      <c r="I43" s="208" t="s">
        <v>66</v>
      </c>
      <c r="J43" s="208"/>
      <c r="K43" s="208" t="s">
        <v>61</v>
      </c>
      <c r="L43" s="208"/>
      <c r="M43" s="205" t="s">
        <v>10</v>
      </c>
      <c r="N43" s="207"/>
      <c r="O43" s="222"/>
      <c r="P43" s="123"/>
      <c r="Q43" s="123"/>
      <c r="BL43" s="4"/>
      <c r="BM43" s="4"/>
      <c r="BN43" s="4"/>
      <c r="BO43" s="4"/>
      <c r="BP43" s="4"/>
      <c r="BQ43" s="4"/>
      <c r="BW43" s="4"/>
      <c r="BX43" s="4"/>
    </row>
    <row r="44" spans="1:76" ht="15" thickBot="1" x14ac:dyDescent="0.35">
      <c r="A44" s="47"/>
      <c r="B44" s="47"/>
      <c r="C44" s="118" t="s">
        <v>43</v>
      </c>
      <c r="D44" s="118" t="s">
        <v>30</v>
      </c>
      <c r="E44" s="118" t="s">
        <v>43</v>
      </c>
      <c r="F44" s="118" t="s">
        <v>30</v>
      </c>
      <c r="G44" s="118" t="s">
        <v>43</v>
      </c>
      <c r="H44" s="118" t="s">
        <v>30</v>
      </c>
      <c r="I44" s="118" t="s">
        <v>43</v>
      </c>
      <c r="J44" s="118" t="s">
        <v>30</v>
      </c>
      <c r="K44" s="118" t="s">
        <v>43</v>
      </c>
      <c r="L44" s="118" t="s">
        <v>30</v>
      </c>
      <c r="M44" s="118" t="s">
        <v>43</v>
      </c>
      <c r="N44" s="121" t="s">
        <v>30</v>
      </c>
      <c r="O44" s="125" t="s">
        <v>67</v>
      </c>
      <c r="P44" s="24"/>
      <c r="BL44" s="4"/>
      <c r="BM44" s="4"/>
      <c r="BN44" s="4"/>
      <c r="BO44" s="4"/>
      <c r="BP44" s="4"/>
      <c r="BQ44" s="4"/>
      <c r="BW44" s="4"/>
      <c r="BX44" s="4"/>
    </row>
    <row r="45" spans="1:76" ht="15" thickBot="1" x14ac:dyDescent="0.35">
      <c r="A45" s="20">
        <v>1</v>
      </c>
      <c r="B45" s="35" t="s">
        <v>44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f>K45+I45+G45+E45+C45</f>
        <v>0</v>
      </c>
      <c r="N45" s="20">
        <f>L45+J45+H45+F45+D45</f>
        <v>0</v>
      </c>
      <c r="O45" s="18">
        <f>N45+M45</f>
        <v>0</v>
      </c>
      <c r="P45" s="24"/>
      <c r="BL45" s="4"/>
      <c r="BM45" s="4"/>
      <c r="BN45" s="4"/>
      <c r="BO45" s="4"/>
      <c r="BP45" s="4"/>
      <c r="BQ45" s="4"/>
      <c r="BW45" s="4"/>
      <c r="BX45" s="4"/>
    </row>
    <row r="46" spans="1:76" ht="15" thickBot="1" x14ac:dyDescent="0.35">
      <c r="A46" s="20">
        <v>2</v>
      </c>
      <c r="B46" s="35" t="s">
        <v>45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28</v>
      </c>
      <c r="K46" s="20">
        <v>0</v>
      </c>
      <c r="L46" s="20">
        <v>0</v>
      </c>
      <c r="M46" s="20">
        <f t="shared" ref="M46:N51" si="3">K46+I46+G46+E46+C46</f>
        <v>0</v>
      </c>
      <c r="N46" s="20">
        <f t="shared" si="3"/>
        <v>28</v>
      </c>
      <c r="O46" s="18">
        <f t="shared" ref="O46:O51" si="4">N46+M46</f>
        <v>28</v>
      </c>
      <c r="P46" s="24"/>
      <c r="BL46" s="4"/>
      <c r="BM46" s="4"/>
      <c r="BN46" s="4"/>
      <c r="BO46" s="4"/>
      <c r="BP46" s="4"/>
      <c r="BQ46" s="4"/>
      <c r="BW46" s="4"/>
      <c r="BX46" s="4"/>
    </row>
    <row r="47" spans="1:76" ht="15" thickBot="1" x14ac:dyDescent="0.35">
      <c r="A47" s="20">
        <v>3</v>
      </c>
      <c r="B47" s="35" t="s">
        <v>46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f t="shared" si="3"/>
        <v>0</v>
      </c>
      <c r="N47" s="20">
        <f t="shared" si="3"/>
        <v>0</v>
      </c>
      <c r="O47" s="18">
        <f t="shared" si="4"/>
        <v>0</v>
      </c>
      <c r="P47" s="24"/>
      <c r="BL47" s="4"/>
      <c r="BM47" s="4"/>
      <c r="BN47" s="4"/>
      <c r="BO47" s="4"/>
      <c r="BP47" s="4"/>
      <c r="BQ47" s="4"/>
      <c r="BW47" s="4"/>
      <c r="BX47" s="4"/>
    </row>
    <row r="48" spans="1:76" ht="15" thickBot="1" x14ac:dyDescent="0.35">
      <c r="A48" s="20">
        <v>4</v>
      </c>
      <c r="B48" s="35" t="s">
        <v>47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f t="shared" si="3"/>
        <v>0</v>
      </c>
      <c r="N48" s="20">
        <f t="shared" si="3"/>
        <v>0</v>
      </c>
      <c r="O48" s="18">
        <f t="shared" si="4"/>
        <v>0</v>
      </c>
      <c r="P48" s="24"/>
      <c r="BW48" s="4"/>
      <c r="BX48" s="4"/>
    </row>
    <row r="49" spans="1:76" ht="15" thickBot="1" x14ac:dyDescent="0.35">
      <c r="A49" s="20">
        <v>5</v>
      </c>
      <c r="B49" s="35" t="s">
        <v>48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f t="shared" si="3"/>
        <v>0</v>
      </c>
      <c r="N49" s="20">
        <f t="shared" si="3"/>
        <v>0</v>
      </c>
      <c r="O49" s="18">
        <f t="shared" si="4"/>
        <v>0</v>
      </c>
      <c r="P49" s="24"/>
      <c r="BW49" s="4"/>
      <c r="BX49" s="4"/>
    </row>
    <row r="50" spans="1:76" ht="15" thickBot="1" x14ac:dyDescent="0.35">
      <c r="A50" s="20">
        <v>6</v>
      </c>
      <c r="B50" s="35" t="s">
        <v>49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f t="shared" si="3"/>
        <v>0</v>
      </c>
      <c r="N50" s="20">
        <f t="shared" si="3"/>
        <v>0</v>
      </c>
      <c r="O50" s="18">
        <f t="shared" si="4"/>
        <v>0</v>
      </c>
      <c r="P50" s="24"/>
      <c r="BW50" s="4"/>
      <c r="BX50" s="4"/>
    </row>
    <row r="51" spans="1:76" ht="15" thickBot="1" x14ac:dyDescent="0.35">
      <c r="A51" s="20">
        <v>7</v>
      </c>
      <c r="B51" s="35" t="s">
        <v>50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3</v>
      </c>
      <c r="K51" s="20">
        <v>0</v>
      </c>
      <c r="L51" s="20">
        <v>0</v>
      </c>
      <c r="M51" s="20">
        <f t="shared" si="3"/>
        <v>0</v>
      </c>
      <c r="N51" s="20">
        <f t="shared" si="3"/>
        <v>3</v>
      </c>
      <c r="O51" s="18">
        <f t="shared" si="4"/>
        <v>3</v>
      </c>
      <c r="P51" s="24"/>
      <c r="BW51" s="4"/>
      <c r="BX51" s="4"/>
    </row>
    <row r="52" spans="1:76" x14ac:dyDescent="0.3">
      <c r="A52" s="213" t="s">
        <v>10</v>
      </c>
      <c r="B52" s="213"/>
      <c r="C52" s="119">
        <f>SUM(C45:C51)</f>
        <v>0</v>
      </c>
      <c r="D52" s="119">
        <f t="shared" ref="D52:N52" si="5">SUM(D45:D51)</f>
        <v>0</v>
      </c>
      <c r="E52" s="119">
        <f t="shared" si="5"/>
        <v>0</v>
      </c>
      <c r="F52" s="119">
        <f t="shared" si="5"/>
        <v>0</v>
      </c>
      <c r="G52" s="119">
        <f t="shared" si="5"/>
        <v>0</v>
      </c>
      <c r="H52" s="119">
        <f t="shared" si="5"/>
        <v>0</v>
      </c>
      <c r="I52" s="119">
        <f t="shared" si="5"/>
        <v>0</v>
      </c>
      <c r="J52" s="119">
        <f t="shared" si="5"/>
        <v>31</v>
      </c>
      <c r="K52" s="119">
        <f t="shared" si="5"/>
        <v>0</v>
      </c>
      <c r="L52" s="119">
        <f t="shared" si="5"/>
        <v>0</v>
      </c>
      <c r="M52" s="119">
        <f t="shared" si="5"/>
        <v>0</v>
      </c>
      <c r="N52" s="122">
        <f t="shared" si="5"/>
        <v>31</v>
      </c>
      <c r="O52" s="126">
        <f>SUM(O45:O51)</f>
        <v>31</v>
      </c>
      <c r="P52" s="124"/>
    </row>
    <row r="54" spans="1:76" ht="24" customHeight="1" x14ac:dyDescent="0.3">
      <c r="A54" s="112" t="s">
        <v>19</v>
      </c>
    </row>
    <row r="55" spans="1:76" ht="24" customHeight="1" x14ac:dyDescent="0.3">
      <c r="A55" s="112" t="s">
        <v>20</v>
      </c>
    </row>
    <row r="56" spans="1:76" ht="43.2" x14ac:dyDescent="0.3">
      <c r="A56" s="40" t="s">
        <v>6</v>
      </c>
      <c r="B56" s="40" t="s">
        <v>18</v>
      </c>
      <c r="C56" s="158" t="s">
        <v>84</v>
      </c>
      <c r="D56" s="41" t="s">
        <v>68</v>
      </c>
      <c r="E56" s="41" t="s">
        <v>72</v>
      </c>
      <c r="F56" s="41" t="s">
        <v>73</v>
      </c>
      <c r="G56" s="41" t="s">
        <v>85</v>
      </c>
      <c r="H56" s="41" t="s">
        <v>86</v>
      </c>
      <c r="I56" s="158" t="s">
        <v>10</v>
      </c>
      <c r="J56" s="123"/>
      <c r="L56" s="123"/>
      <c r="N56" s="123"/>
      <c r="P56" s="124"/>
      <c r="R56" s="123"/>
      <c r="S56" s="123"/>
    </row>
    <row r="57" spans="1:76" x14ac:dyDescent="0.3">
      <c r="A57" s="18">
        <v>1</v>
      </c>
      <c r="B57" s="36" t="s">
        <v>44</v>
      </c>
      <c r="C57" s="159">
        <v>19</v>
      </c>
      <c r="D57" s="159">
        <v>19</v>
      </c>
      <c r="E57" s="159">
        <v>17</v>
      </c>
      <c r="F57" s="159">
        <v>17</v>
      </c>
      <c r="G57" s="159">
        <v>17</v>
      </c>
      <c r="H57" s="159">
        <v>17</v>
      </c>
      <c r="I57" s="159">
        <f>SUM(C57:H57)</f>
        <v>106</v>
      </c>
      <c r="J57" s="12"/>
      <c r="L57" s="12"/>
      <c r="N57" s="12"/>
      <c r="P57" s="24"/>
      <c r="R57" s="12"/>
      <c r="S57" s="12"/>
    </row>
    <row r="58" spans="1:76" x14ac:dyDescent="0.3">
      <c r="A58" s="18">
        <v>2</v>
      </c>
      <c r="B58" s="36" t="s">
        <v>45</v>
      </c>
      <c r="C58" s="159">
        <v>116</v>
      </c>
      <c r="D58" s="159">
        <v>105</v>
      </c>
      <c r="E58" s="159">
        <v>95</v>
      </c>
      <c r="F58" s="159">
        <v>89</v>
      </c>
      <c r="G58" s="159">
        <v>89</v>
      </c>
      <c r="H58" s="159">
        <v>84</v>
      </c>
      <c r="I58" s="159">
        <f t="shared" ref="I58:I63" si="6">SUM(C58:H58)</f>
        <v>578</v>
      </c>
      <c r="J58" s="12"/>
      <c r="L58" s="12"/>
      <c r="N58" s="12"/>
      <c r="P58" s="24"/>
      <c r="R58" s="12"/>
      <c r="S58" s="12"/>
    </row>
    <row r="59" spans="1:76" x14ac:dyDescent="0.3">
      <c r="A59" s="18">
        <v>3</v>
      </c>
      <c r="B59" s="36" t="s">
        <v>46</v>
      </c>
      <c r="C59" s="159">
        <v>95</v>
      </c>
      <c r="D59" s="159">
        <v>96</v>
      </c>
      <c r="E59" s="159">
        <v>95</v>
      </c>
      <c r="F59" s="159">
        <v>95</v>
      </c>
      <c r="G59" s="159">
        <v>89</v>
      </c>
      <c r="H59" s="159">
        <v>87</v>
      </c>
      <c r="I59" s="159">
        <f t="shared" si="6"/>
        <v>557</v>
      </c>
      <c r="J59" s="12"/>
      <c r="L59" s="12"/>
      <c r="N59" s="12"/>
      <c r="P59" s="24"/>
      <c r="R59" s="12"/>
      <c r="S59" s="12"/>
    </row>
    <row r="60" spans="1:76" x14ac:dyDescent="0.3">
      <c r="A60" s="18">
        <v>4</v>
      </c>
      <c r="B60" s="36" t="s">
        <v>47</v>
      </c>
      <c r="C60" s="159">
        <v>1</v>
      </c>
      <c r="D60" s="159">
        <v>1</v>
      </c>
      <c r="E60" s="159">
        <v>1</v>
      </c>
      <c r="F60" s="159">
        <v>1</v>
      </c>
      <c r="G60" s="159">
        <v>1</v>
      </c>
      <c r="H60" s="159">
        <v>1</v>
      </c>
      <c r="I60" s="159">
        <f t="shared" si="6"/>
        <v>6</v>
      </c>
      <c r="J60" s="12"/>
      <c r="L60" s="12"/>
      <c r="N60" s="12"/>
      <c r="P60" s="24"/>
      <c r="R60" s="12"/>
      <c r="S60" s="12"/>
    </row>
    <row r="61" spans="1:76" x14ac:dyDescent="0.3">
      <c r="A61" s="18">
        <v>5</v>
      </c>
      <c r="B61" s="36" t="s">
        <v>48</v>
      </c>
      <c r="C61" s="159">
        <v>0</v>
      </c>
      <c r="D61" s="159">
        <v>0</v>
      </c>
      <c r="E61" s="159">
        <v>0</v>
      </c>
      <c r="F61" s="159">
        <v>0</v>
      </c>
      <c r="G61" s="159">
        <v>0</v>
      </c>
      <c r="H61" s="159">
        <v>0</v>
      </c>
      <c r="I61" s="159">
        <f t="shared" si="6"/>
        <v>0</v>
      </c>
      <c r="J61" s="12"/>
      <c r="L61" s="12"/>
      <c r="N61" s="12"/>
      <c r="P61" s="24"/>
      <c r="R61" s="12"/>
      <c r="S61" s="12"/>
    </row>
    <row r="62" spans="1:76" x14ac:dyDescent="0.3">
      <c r="A62" s="18">
        <v>6</v>
      </c>
      <c r="B62" s="36" t="s">
        <v>49</v>
      </c>
      <c r="C62" s="159">
        <v>2</v>
      </c>
      <c r="D62" s="159">
        <v>2</v>
      </c>
      <c r="E62" s="159">
        <v>1</v>
      </c>
      <c r="F62" s="159">
        <v>1</v>
      </c>
      <c r="G62" s="159">
        <v>1</v>
      </c>
      <c r="H62" s="159">
        <v>1</v>
      </c>
      <c r="I62" s="159">
        <f t="shared" si="6"/>
        <v>8</v>
      </c>
      <c r="J62" s="12"/>
      <c r="L62" s="12"/>
      <c r="N62" s="12"/>
      <c r="P62" s="24"/>
      <c r="R62" s="12"/>
      <c r="S62" s="12"/>
    </row>
    <row r="63" spans="1:76" x14ac:dyDescent="0.3">
      <c r="A63" s="18">
        <v>7</v>
      </c>
      <c r="B63" s="36" t="s">
        <v>50</v>
      </c>
      <c r="C63" s="159">
        <v>5</v>
      </c>
      <c r="D63" s="159">
        <v>5</v>
      </c>
      <c r="E63" s="159">
        <v>5</v>
      </c>
      <c r="F63" s="159">
        <v>5</v>
      </c>
      <c r="G63" s="159">
        <v>5</v>
      </c>
      <c r="H63" s="159">
        <v>5</v>
      </c>
      <c r="I63" s="159">
        <f t="shared" si="6"/>
        <v>30</v>
      </c>
      <c r="J63" s="12"/>
      <c r="L63" s="12"/>
      <c r="N63" s="12"/>
      <c r="P63" s="24"/>
      <c r="R63" s="12"/>
      <c r="S63" s="12"/>
    </row>
    <row r="64" spans="1:76" x14ac:dyDescent="0.3">
      <c r="A64" s="209" t="s">
        <v>10</v>
      </c>
      <c r="B64" s="209"/>
      <c r="C64" s="160">
        <f t="shared" ref="C64:H64" si="7">SUM(C57:C63)</f>
        <v>238</v>
      </c>
      <c r="D64" s="160">
        <f t="shared" si="7"/>
        <v>228</v>
      </c>
      <c r="E64" s="160">
        <f t="shared" si="7"/>
        <v>214</v>
      </c>
      <c r="F64" s="160">
        <f t="shared" si="7"/>
        <v>208</v>
      </c>
      <c r="G64" s="160">
        <f t="shared" si="7"/>
        <v>202</v>
      </c>
      <c r="H64" s="160">
        <f t="shared" si="7"/>
        <v>195</v>
      </c>
      <c r="I64" s="160">
        <f>SUM(C64:H64)</f>
        <v>1285</v>
      </c>
      <c r="J64" s="123"/>
      <c r="L64" s="123"/>
      <c r="N64" s="123"/>
      <c r="P64" s="124"/>
      <c r="R64" s="123"/>
      <c r="S64" s="123"/>
    </row>
    <row r="65" spans="1:98" x14ac:dyDescent="0.3">
      <c r="A65" s="1"/>
      <c r="C65" s="190"/>
      <c r="D65" s="190"/>
      <c r="E65" s="190"/>
      <c r="F65" s="190"/>
      <c r="G65" s="190"/>
      <c r="H65" s="190"/>
      <c r="I65" s="190"/>
      <c r="J65" s="189"/>
      <c r="K65" s="189"/>
      <c r="L65" s="189"/>
      <c r="M65" s="189"/>
      <c r="N65" s="189"/>
      <c r="O65" s="28"/>
      <c r="P65" s="28"/>
    </row>
    <row r="66" spans="1:98" ht="22.8" customHeight="1" x14ac:dyDescent="0.3">
      <c r="A66" s="112" t="s">
        <v>27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98" ht="43.8" thickBot="1" x14ac:dyDescent="0.35">
      <c r="A67" s="128" t="s">
        <v>6</v>
      </c>
      <c r="B67" s="127" t="s">
        <v>18</v>
      </c>
      <c r="C67" s="223" t="s">
        <v>84</v>
      </c>
      <c r="D67" s="224"/>
      <c r="E67" s="191" t="s">
        <v>68</v>
      </c>
      <c r="F67" s="191"/>
      <c r="G67" s="191" t="s">
        <v>69</v>
      </c>
      <c r="H67" s="191"/>
      <c r="I67" s="191" t="s">
        <v>39</v>
      </c>
      <c r="J67" s="191"/>
      <c r="K67" s="191" t="s">
        <v>70</v>
      </c>
      <c r="L67" s="191"/>
      <c r="M67" s="191" t="s">
        <v>40</v>
      </c>
      <c r="N67" s="191"/>
      <c r="O67" s="223" t="s">
        <v>10</v>
      </c>
      <c r="P67" s="225"/>
      <c r="Q67" s="224"/>
    </row>
    <row r="68" spans="1:98" x14ac:dyDescent="0.3">
      <c r="A68" s="47"/>
      <c r="B68" s="47"/>
      <c r="C68" s="118" t="s">
        <v>29</v>
      </c>
      <c r="D68" s="118" t="s">
        <v>30</v>
      </c>
      <c r="E68" s="118" t="s">
        <v>29</v>
      </c>
      <c r="F68" s="118" t="s">
        <v>30</v>
      </c>
      <c r="G68" s="118" t="s">
        <v>29</v>
      </c>
      <c r="H68" s="118" t="s">
        <v>30</v>
      </c>
      <c r="I68" s="118" t="s">
        <v>29</v>
      </c>
      <c r="J68" s="118" t="s">
        <v>30</v>
      </c>
      <c r="K68" s="118" t="s">
        <v>29</v>
      </c>
      <c r="L68" s="118" t="s">
        <v>30</v>
      </c>
      <c r="M68" s="118" t="s">
        <v>29</v>
      </c>
      <c r="N68" s="118" t="s">
        <v>30</v>
      </c>
      <c r="O68" s="118" t="s">
        <v>29</v>
      </c>
      <c r="P68" s="118" t="s">
        <v>30</v>
      </c>
      <c r="Q68" s="118" t="s">
        <v>62</v>
      </c>
      <c r="CO68" s="3"/>
      <c r="CP68" s="11" t="s">
        <v>40</v>
      </c>
      <c r="CQ68" s="3"/>
      <c r="CR68" s="11" t="s">
        <v>10</v>
      </c>
      <c r="CS68" s="9"/>
      <c r="CT68" s="3"/>
    </row>
    <row r="69" spans="1:98" ht="15" thickBot="1" x14ac:dyDescent="0.35">
      <c r="A69" s="20">
        <v>1</v>
      </c>
      <c r="B69" s="35" t="s">
        <v>44</v>
      </c>
      <c r="C69" s="19">
        <v>556</v>
      </c>
      <c r="D69" s="19">
        <v>631</v>
      </c>
      <c r="E69" s="20">
        <v>571</v>
      </c>
      <c r="F69" s="20">
        <v>593</v>
      </c>
      <c r="G69" s="20">
        <v>521</v>
      </c>
      <c r="H69" s="20">
        <v>476</v>
      </c>
      <c r="I69" s="20">
        <v>469</v>
      </c>
      <c r="J69" s="20">
        <v>405</v>
      </c>
      <c r="K69" s="20">
        <v>369</v>
      </c>
      <c r="L69" s="20">
        <v>315</v>
      </c>
      <c r="M69" s="20">
        <v>302</v>
      </c>
      <c r="N69" s="20">
        <v>260</v>
      </c>
      <c r="O69" s="20">
        <f>M69+K69+I69+G69+E69+C69</f>
        <v>2788</v>
      </c>
      <c r="P69" s="20">
        <f>N69+L69+J69+H69+F69+D69</f>
        <v>2680</v>
      </c>
      <c r="Q69" s="20">
        <f>P69+O69</f>
        <v>5468</v>
      </c>
      <c r="CO69" s="4" t="s">
        <v>30</v>
      </c>
      <c r="CP69" s="4" t="s">
        <v>29</v>
      </c>
      <c r="CQ69" s="4" t="s">
        <v>30</v>
      </c>
      <c r="CR69" s="4"/>
      <c r="CS69" s="4"/>
      <c r="CT69" s="4"/>
    </row>
    <row r="70" spans="1:98" ht="15" thickBot="1" x14ac:dyDescent="0.35">
      <c r="A70" s="20">
        <v>2</v>
      </c>
      <c r="B70" s="35" t="s">
        <v>45</v>
      </c>
      <c r="C70" s="19">
        <v>3756</v>
      </c>
      <c r="D70" s="19">
        <v>3695</v>
      </c>
      <c r="E70" s="20">
        <v>3347</v>
      </c>
      <c r="F70" s="20">
        <v>3096</v>
      </c>
      <c r="G70" s="20">
        <v>2994</v>
      </c>
      <c r="H70" s="20">
        <v>2787</v>
      </c>
      <c r="I70" s="20">
        <v>2665</v>
      </c>
      <c r="J70" s="20">
        <v>2361</v>
      </c>
      <c r="K70" s="20">
        <v>2342</v>
      </c>
      <c r="L70" s="20">
        <v>2002</v>
      </c>
      <c r="M70" s="20">
        <v>1909</v>
      </c>
      <c r="N70" s="20">
        <v>1428</v>
      </c>
      <c r="O70" s="20">
        <f t="shared" ref="O70:O75" si="8">M70+K70+I70+G70+E70+C70</f>
        <v>17013</v>
      </c>
      <c r="P70" s="20">
        <f t="shared" ref="P70:P75" si="9">N70+L70+J70+H70+F70+D70</f>
        <v>15369</v>
      </c>
      <c r="Q70" s="20">
        <f t="shared" ref="Q70:Q75" si="10">P70+O70</f>
        <v>32382</v>
      </c>
      <c r="CO70" s="4"/>
      <c r="CP70" s="4"/>
      <c r="CQ70" s="4"/>
      <c r="CR70" s="4"/>
      <c r="CS70" s="4"/>
      <c r="CT70" s="4"/>
    </row>
    <row r="71" spans="1:98" ht="15" thickBot="1" x14ac:dyDescent="0.35">
      <c r="A71" s="20">
        <v>3</v>
      </c>
      <c r="B71" s="35" t="s">
        <v>46</v>
      </c>
      <c r="C71" s="19">
        <v>3703</v>
      </c>
      <c r="D71" s="19">
        <v>3363</v>
      </c>
      <c r="E71" s="20">
        <v>2975</v>
      </c>
      <c r="F71" s="20">
        <v>2770</v>
      </c>
      <c r="G71" s="20">
        <v>2756</v>
      </c>
      <c r="H71" s="20">
        <v>2564</v>
      </c>
      <c r="I71" s="20">
        <v>2497</v>
      </c>
      <c r="J71" s="20">
        <v>2439</v>
      </c>
      <c r="K71" s="20">
        <v>2015</v>
      </c>
      <c r="L71" s="20">
        <v>1904</v>
      </c>
      <c r="M71" s="20">
        <v>1607</v>
      </c>
      <c r="N71" s="20">
        <v>1347</v>
      </c>
      <c r="O71" s="20">
        <f t="shared" si="8"/>
        <v>15553</v>
      </c>
      <c r="P71" s="20">
        <f t="shared" si="9"/>
        <v>14387</v>
      </c>
      <c r="Q71" s="20">
        <f t="shared" si="10"/>
        <v>29940</v>
      </c>
      <c r="CO71" s="4"/>
      <c r="CP71" s="4"/>
      <c r="CQ71" s="4"/>
      <c r="CR71" s="4"/>
      <c r="CS71" s="4"/>
      <c r="CT71" s="4"/>
    </row>
    <row r="72" spans="1:98" ht="15" thickBot="1" x14ac:dyDescent="0.35">
      <c r="A72" s="20">
        <v>4</v>
      </c>
      <c r="B72" s="35" t="s">
        <v>47</v>
      </c>
      <c r="C72" s="20">
        <v>40</v>
      </c>
      <c r="D72" s="20">
        <v>45</v>
      </c>
      <c r="E72" s="20">
        <v>50</v>
      </c>
      <c r="F72" s="20">
        <v>51</v>
      </c>
      <c r="G72" s="20">
        <v>60</v>
      </c>
      <c r="H72" s="20">
        <v>70</v>
      </c>
      <c r="I72" s="20">
        <v>50</v>
      </c>
      <c r="J72" s="20">
        <v>50</v>
      </c>
      <c r="K72" s="20">
        <v>45</v>
      </c>
      <c r="L72" s="20">
        <v>46</v>
      </c>
      <c r="M72" s="20">
        <v>48</v>
      </c>
      <c r="N72" s="20">
        <v>50</v>
      </c>
      <c r="O72" s="20">
        <f t="shared" si="8"/>
        <v>293</v>
      </c>
      <c r="P72" s="20">
        <f t="shared" si="9"/>
        <v>312</v>
      </c>
      <c r="Q72" s="20">
        <f t="shared" si="10"/>
        <v>605</v>
      </c>
      <c r="CO72" s="4"/>
      <c r="CP72" s="4"/>
      <c r="CQ72" s="4"/>
      <c r="CR72" s="4"/>
      <c r="CS72" s="4"/>
      <c r="CT72" s="4"/>
    </row>
    <row r="73" spans="1:98" ht="15" thickBot="1" x14ac:dyDescent="0.35">
      <c r="A73" s="20">
        <v>5</v>
      </c>
      <c r="B73" s="35" t="s">
        <v>48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f t="shared" si="8"/>
        <v>0</v>
      </c>
      <c r="P73" s="20">
        <f t="shared" si="9"/>
        <v>0</v>
      </c>
      <c r="Q73" s="20">
        <f t="shared" si="10"/>
        <v>0</v>
      </c>
      <c r="CO73" s="4"/>
      <c r="CP73" s="4"/>
      <c r="CQ73" s="4"/>
      <c r="CR73" s="4"/>
      <c r="CS73" s="4"/>
      <c r="CT73" s="4"/>
    </row>
    <row r="74" spans="1:98" ht="15" thickBot="1" x14ac:dyDescent="0.35">
      <c r="A74" s="20">
        <v>6</v>
      </c>
      <c r="B74" s="35" t="s">
        <v>49</v>
      </c>
      <c r="C74" s="20">
        <v>61</v>
      </c>
      <c r="D74" s="20">
        <v>60</v>
      </c>
      <c r="E74" s="20">
        <v>50</v>
      </c>
      <c r="F74" s="20">
        <v>64</v>
      </c>
      <c r="G74" s="20">
        <v>52</v>
      </c>
      <c r="H74" s="20">
        <v>44</v>
      </c>
      <c r="I74" s="20">
        <v>43</v>
      </c>
      <c r="J74" s="20">
        <v>41</v>
      </c>
      <c r="K74" s="20">
        <v>39</v>
      </c>
      <c r="L74" s="20">
        <v>35</v>
      </c>
      <c r="M74" s="20">
        <v>12</v>
      </c>
      <c r="N74" s="20">
        <v>3</v>
      </c>
      <c r="O74" s="20">
        <f t="shared" si="8"/>
        <v>257</v>
      </c>
      <c r="P74" s="20">
        <f t="shared" si="9"/>
        <v>247</v>
      </c>
      <c r="Q74" s="20">
        <f t="shared" si="10"/>
        <v>504</v>
      </c>
      <c r="CO74" s="4"/>
      <c r="CP74" s="4"/>
      <c r="CQ74" s="4"/>
      <c r="CR74" s="4"/>
      <c r="CS74" s="4"/>
      <c r="CT74" s="4"/>
    </row>
    <row r="75" spans="1:98" ht="15" thickBot="1" x14ac:dyDescent="0.35">
      <c r="A75" s="20">
        <v>7</v>
      </c>
      <c r="B75" s="35" t="s">
        <v>50</v>
      </c>
      <c r="C75" s="20">
        <v>99</v>
      </c>
      <c r="D75" s="20">
        <v>102</v>
      </c>
      <c r="E75" s="20">
        <v>93</v>
      </c>
      <c r="F75" s="20">
        <v>121</v>
      </c>
      <c r="G75" s="20">
        <v>91</v>
      </c>
      <c r="H75" s="20">
        <v>92</v>
      </c>
      <c r="I75" s="20">
        <v>70</v>
      </c>
      <c r="J75" s="20">
        <v>67</v>
      </c>
      <c r="K75" s="20">
        <v>53</v>
      </c>
      <c r="L75" s="20">
        <v>46</v>
      </c>
      <c r="M75" s="20">
        <v>53</v>
      </c>
      <c r="N75" s="20">
        <v>36</v>
      </c>
      <c r="O75" s="20">
        <f t="shared" si="8"/>
        <v>459</v>
      </c>
      <c r="P75" s="20">
        <f t="shared" si="9"/>
        <v>464</v>
      </c>
      <c r="Q75" s="20">
        <f t="shared" si="10"/>
        <v>923</v>
      </c>
      <c r="CO75" s="4"/>
      <c r="CP75" s="4"/>
      <c r="CQ75" s="4"/>
      <c r="CR75" s="4"/>
      <c r="CS75" s="4"/>
      <c r="CT75" s="4"/>
    </row>
    <row r="76" spans="1:98" ht="15" thickBot="1" x14ac:dyDescent="0.35">
      <c r="A76" s="213" t="s">
        <v>10</v>
      </c>
      <c r="B76" s="213"/>
      <c r="C76" s="119">
        <f t="shared" ref="C76:N76" si="11">SUM(C69:C75)</f>
        <v>8215</v>
      </c>
      <c r="D76" s="119">
        <f t="shared" si="11"/>
        <v>7896</v>
      </c>
      <c r="E76" s="119">
        <f t="shared" si="11"/>
        <v>7086</v>
      </c>
      <c r="F76" s="119">
        <f t="shared" si="11"/>
        <v>6695</v>
      </c>
      <c r="G76" s="119">
        <f t="shared" si="11"/>
        <v>6474</v>
      </c>
      <c r="H76" s="119">
        <f t="shared" si="11"/>
        <v>6033</v>
      </c>
      <c r="I76" s="119">
        <f t="shared" si="11"/>
        <v>5794</v>
      </c>
      <c r="J76" s="119">
        <f t="shared" si="11"/>
        <v>5363</v>
      </c>
      <c r="K76" s="119">
        <f t="shared" si="11"/>
        <v>4863</v>
      </c>
      <c r="L76" s="119">
        <f t="shared" si="11"/>
        <v>4348</v>
      </c>
      <c r="M76" s="119">
        <f t="shared" si="11"/>
        <v>3931</v>
      </c>
      <c r="N76" s="119">
        <f t="shared" si="11"/>
        <v>3124</v>
      </c>
      <c r="O76" s="119">
        <f>SUM(O69:O75)</f>
        <v>36363</v>
      </c>
      <c r="P76" s="119">
        <f>SUM(P69:P75)</f>
        <v>33459</v>
      </c>
      <c r="Q76" s="119">
        <f>SUM(Q69:Q75)</f>
        <v>69822</v>
      </c>
      <c r="CO76" s="4"/>
      <c r="CP76" s="4"/>
      <c r="CQ76" s="4"/>
      <c r="CR76" s="4"/>
      <c r="CS76" s="4"/>
      <c r="CT76" s="4"/>
    </row>
    <row r="77" spans="1:98" ht="15" thickBot="1" x14ac:dyDescent="0.35">
      <c r="A77" s="1"/>
      <c r="CO77" s="4"/>
      <c r="CP77" s="4"/>
      <c r="CQ77" s="4"/>
      <c r="CR77" s="4"/>
      <c r="CS77" s="4"/>
      <c r="CT77" s="4"/>
    </row>
    <row r="78" spans="1:98" x14ac:dyDescent="0.3">
      <c r="A78" s="1" t="s">
        <v>31</v>
      </c>
    </row>
    <row r="79" spans="1:98" ht="43.2" x14ac:dyDescent="0.3">
      <c r="A79" s="46" t="s">
        <v>6</v>
      </c>
      <c r="B79" s="46" t="s">
        <v>18</v>
      </c>
      <c r="C79" s="205" t="s">
        <v>64</v>
      </c>
      <c r="D79" s="206"/>
      <c r="E79" s="208" t="s">
        <v>63</v>
      </c>
      <c r="F79" s="208"/>
      <c r="G79" s="208" t="s">
        <v>66</v>
      </c>
      <c r="H79" s="208"/>
      <c r="I79" s="208" t="s">
        <v>61</v>
      </c>
      <c r="J79" s="208"/>
      <c r="K79" s="192" t="s">
        <v>10</v>
      </c>
      <c r="L79" s="193"/>
      <c r="M79" s="194"/>
      <c r="CP79" s="14" t="s">
        <v>26</v>
      </c>
      <c r="CQ79" s="199" t="s">
        <v>10</v>
      </c>
    </row>
    <row r="80" spans="1:98" x14ac:dyDescent="0.3">
      <c r="A80" s="47"/>
      <c r="B80" s="42"/>
      <c r="C80" s="118" t="s">
        <v>43</v>
      </c>
      <c r="D80" s="118" t="s">
        <v>30</v>
      </c>
      <c r="E80" s="118" t="s">
        <v>43</v>
      </c>
      <c r="F80" s="118" t="s">
        <v>30</v>
      </c>
      <c r="G80" s="118" t="s">
        <v>43</v>
      </c>
      <c r="H80" s="118" t="s">
        <v>30</v>
      </c>
      <c r="I80" s="118" t="s">
        <v>43</v>
      </c>
      <c r="J80" s="118" t="s">
        <v>30</v>
      </c>
      <c r="K80" s="118" t="s">
        <v>43</v>
      </c>
      <c r="L80" s="118" t="s">
        <v>30</v>
      </c>
      <c r="M80" s="118" t="s">
        <v>67</v>
      </c>
      <c r="CP80" s="14" t="s">
        <v>30</v>
      </c>
      <c r="CQ80" s="200"/>
    </row>
    <row r="81" spans="1:95" x14ac:dyDescent="0.3">
      <c r="A81" s="20">
        <v>1</v>
      </c>
      <c r="B81" s="37" t="s">
        <v>44</v>
      </c>
      <c r="C81" s="20">
        <v>0</v>
      </c>
      <c r="D81" s="20">
        <v>0</v>
      </c>
      <c r="E81" s="20">
        <v>0</v>
      </c>
      <c r="F81" s="20">
        <v>0</v>
      </c>
      <c r="G81" s="20">
        <v>88</v>
      </c>
      <c r="H81" s="20">
        <v>18</v>
      </c>
      <c r="I81" s="20">
        <v>0</v>
      </c>
      <c r="J81" s="20">
        <v>0</v>
      </c>
      <c r="K81" s="20">
        <f>I81+G81+E81+C81</f>
        <v>88</v>
      </c>
      <c r="L81" s="20">
        <f>J81+H81+F81+D81</f>
        <v>18</v>
      </c>
      <c r="M81" s="20">
        <f>L81+K81</f>
        <v>106</v>
      </c>
      <c r="CP81" s="14"/>
      <c r="CQ81" s="15"/>
    </row>
    <row r="82" spans="1:95" ht="15" thickBot="1" x14ac:dyDescent="0.35">
      <c r="A82" s="20">
        <v>2</v>
      </c>
      <c r="B82" s="32" t="s">
        <v>45</v>
      </c>
      <c r="C82" s="20">
        <v>0</v>
      </c>
      <c r="D82" s="20">
        <v>0</v>
      </c>
      <c r="E82" s="20">
        <v>0</v>
      </c>
      <c r="F82" s="20">
        <v>0</v>
      </c>
      <c r="G82" s="20">
        <v>481</v>
      </c>
      <c r="H82" s="20">
        <v>97</v>
      </c>
      <c r="I82" s="20">
        <v>0</v>
      </c>
      <c r="J82" s="20">
        <v>0</v>
      </c>
      <c r="K82" s="20">
        <f t="shared" ref="K82:L87" si="12">I82+G82+E82+C82</f>
        <v>481</v>
      </c>
      <c r="L82" s="20">
        <f t="shared" si="12"/>
        <v>97</v>
      </c>
      <c r="M82" s="20">
        <f t="shared" ref="M82:M87" si="13">L82+K82</f>
        <v>578</v>
      </c>
      <c r="CP82" s="14"/>
      <c r="CQ82" s="14"/>
    </row>
    <row r="83" spans="1:95" ht="15" thickBot="1" x14ac:dyDescent="0.35">
      <c r="A83" s="20">
        <v>3</v>
      </c>
      <c r="B83" s="32" t="s">
        <v>46</v>
      </c>
      <c r="C83" s="20">
        <v>0</v>
      </c>
      <c r="D83" s="20">
        <v>0</v>
      </c>
      <c r="E83" s="20">
        <v>0</v>
      </c>
      <c r="F83" s="20">
        <v>0</v>
      </c>
      <c r="G83" s="20">
        <v>470</v>
      </c>
      <c r="H83" s="20">
        <v>87</v>
      </c>
      <c r="I83" s="20">
        <v>0</v>
      </c>
      <c r="J83" s="20">
        <v>0</v>
      </c>
      <c r="K83" s="20">
        <f t="shared" si="12"/>
        <v>470</v>
      </c>
      <c r="L83" s="20">
        <f t="shared" si="12"/>
        <v>87</v>
      </c>
      <c r="M83" s="20">
        <f t="shared" si="13"/>
        <v>557</v>
      </c>
      <c r="CP83" s="14"/>
      <c r="CQ83" s="14"/>
    </row>
    <row r="84" spans="1:95" ht="15" thickBot="1" x14ac:dyDescent="0.35">
      <c r="A84" s="20">
        <v>4</v>
      </c>
      <c r="B84" s="32" t="s">
        <v>47</v>
      </c>
      <c r="C84" s="20">
        <v>0</v>
      </c>
      <c r="D84" s="20">
        <v>0</v>
      </c>
      <c r="E84" s="20">
        <v>0</v>
      </c>
      <c r="F84" s="20">
        <v>0</v>
      </c>
      <c r="G84" s="20">
        <v>6</v>
      </c>
      <c r="H84" s="20">
        <v>0</v>
      </c>
      <c r="I84" s="20">
        <v>0</v>
      </c>
      <c r="J84" s="20">
        <v>0</v>
      </c>
      <c r="K84" s="20">
        <f t="shared" si="12"/>
        <v>6</v>
      </c>
      <c r="L84" s="20">
        <f t="shared" si="12"/>
        <v>0</v>
      </c>
      <c r="M84" s="20">
        <f t="shared" si="13"/>
        <v>6</v>
      </c>
      <c r="CP84" s="14"/>
      <c r="CQ84" s="14"/>
    </row>
    <row r="85" spans="1:95" ht="15" thickBot="1" x14ac:dyDescent="0.35">
      <c r="A85" s="20">
        <v>5</v>
      </c>
      <c r="B85" s="32" t="s">
        <v>48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f t="shared" si="12"/>
        <v>0</v>
      </c>
      <c r="L85" s="20">
        <f t="shared" si="12"/>
        <v>0</v>
      </c>
      <c r="M85" s="20">
        <f t="shared" si="13"/>
        <v>0</v>
      </c>
      <c r="CP85" s="14"/>
      <c r="CQ85" s="14"/>
    </row>
    <row r="86" spans="1:95" ht="15" thickBot="1" x14ac:dyDescent="0.35">
      <c r="A86" s="20">
        <v>6</v>
      </c>
      <c r="B86" s="32" t="s">
        <v>49</v>
      </c>
      <c r="C86" s="20">
        <v>0</v>
      </c>
      <c r="D86" s="20">
        <v>0</v>
      </c>
      <c r="E86" s="20">
        <v>0</v>
      </c>
      <c r="F86" s="20">
        <v>0</v>
      </c>
      <c r="G86" s="20">
        <v>5</v>
      </c>
      <c r="H86" s="20">
        <v>3</v>
      </c>
      <c r="I86" s="20">
        <v>0</v>
      </c>
      <c r="J86" s="20">
        <v>0</v>
      </c>
      <c r="K86" s="20">
        <f t="shared" si="12"/>
        <v>5</v>
      </c>
      <c r="L86" s="20">
        <f t="shared" si="12"/>
        <v>3</v>
      </c>
      <c r="M86" s="20">
        <f t="shared" si="13"/>
        <v>8</v>
      </c>
      <c r="CP86" s="14"/>
      <c r="CQ86" s="14"/>
    </row>
    <row r="87" spans="1:95" ht="15" thickBot="1" x14ac:dyDescent="0.35">
      <c r="A87" s="20">
        <v>7</v>
      </c>
      <c r="B87" s="32" t="s">
        <v>50</v>
      </c>
      <c r="C87" s="20">
        <v>0</v>
      </c>
      <c r="D87" s="20">
        <v>0</v>
      </c>
      <c r="E87" s="20">
        <v>0</v>
      </c>
      <c r="F87" s="20">
        <v>0</v>
      </c>
      <c r="G87" s="20">
        <v>20</v>
      </c>
      <c r="H87" s="20">
        <v>10</v>
      </c>
      <c r="I87" s="20">
        <v>0</v>
      </c>
      <c r="J87" s="20">
        <v>0</v>
      </c>
      <c r="K87" s="20">
        <f t="shared" si="12"/>
        <v>20</v>
      </c>
      <c r="L87" s="20">
        <f t="shared" si="12"/>
        <v>10</v>
      </c>
      <c r="M87" s="20">
        <f t="shared" si="13"/>
        <v>30</v>
      </c>
      <c r="CP87" s="14"/>
      <c r="CQ87" s="14"/>
    </row>
    <row r="88" spans="1:95" x14ac:dyDescent="0.3">
      <c r="A88" s="213" t="s">
        <v>10</v>
      </c>
      <c r="B88" s="213"/>
      <c r="C88" s="119">
        <f>SUM(C81:C87)</f>
        <v>0</v>
      </c>
      <c r="D88" s="119">
        <f t="shared" ref="D88:M88" si="14">SUM(D81:D87)</f>
        <v>0</v>
      </c>
      <c r="E88" s="119">
        <f t="shared" si="14"/>
        <v>0</v>
      </c>
      <c r="F88" s="119">
        <f t="shared" si="14"/>
        <v>0</v>
      </c>
      <c r="G88" s="119">
        <f t="shared" si="14"/>
        <v>1070</v>
      </c>
      <c r="H88" s="119">
        <f t="shared" si="14"/>
        <v>215</v>
      </c>
      <c r="I88" s="119">
        <f t="shared" si="14"/>
        <v>0</v>
      </c>
      <c r="J88" s="119">
        <f t="shared" si="14"/>
        <v>0</v>
      </c>
      <c r="K88" s="119">
        <f t="shared" si="14"/>
        <v>1070</v>
      </c>
      <c r="L88" s="119">
        <f t="shared" si="14"/>
        <v>215</v>
      </c>
      <c r="M88" s="119">
        <f t="shared" si="14"/>
        <v>1285</v>
      </c>
      <c r="CP88" s="14"/>
      <c r="CQ88" s="14"/>
    </row>
    <row r="89" spans="1:95" x14ac:dyDescent="0.3">
      <c r="A89" s="1"/>
    </row>
    <row r="90" spans="1:95" x14ac:dyDescent="0.3">
      <c r="A90" s="1"/>
    </row>
    <row r="91" spans="1:95" ht="16.8" customHeight="1" x14ac:dyDescent="0.3">
      <c r="A91" s="112" t="s">
        <v>32</v>
      </c>
    </row>
    <row r="92" spans="1:95" ht="19.8" customHeight="1" thickBot="1" x14ac:dyDescent="0.35">
      <c r="A92" s="112" t="s">
        <v>33</v>
      </c>
    </row>
    <row r="93" spans="1:95" ht="43.2" x14ac:dyDescent="0.3">
      <c r="A93" s="114" t="s">
        <v>6</v>
      </c>
      <c r="B93" s="38" t="s">
        <v>41</v>
      </c>
      <c r="C93" s="114" t="s">
        <v>79</v>
      </c>
      <c r="D93" s="129" t="s">
        <v>42</v>
      </c>
      <c r="E93" s="114" t="s">
        <v>80</v>
      </c>
      <c r="F93" s="114" t="s">
        <v>81</v>
      </c>
      <c r="G93" s="114" t="s">
        <v>82</v>
      </c>
      <c r="H93" s="114" t="s">
        <v>83</v>
      </c>
      <c r="I93" s="114" t="s">
        <v>10</v>
      </c>
    </row>
    <row r="94" spans="1:95" ht="15" thickBot="1" x14ac:dyDescent="0.35">
      <c r="A94" s="116">
        <v>1</v>
      </c>
      <c r="B94" s="36" t="s">
        <v>44</v>
      </c>
      <c r="C94" s="19">
        <v>13</v>
      </c>
      <c r="D94" s="19">
        <v>13</v>
      </c>
      <c r="E94" s="19">
        <v>13</v>
      </c>
      <c r="F94" s="19">
        <v>13</v>
      </c>
      <c r="G94" s="19">
        <v>13</v>
      </c>
      <c r="H94" s="19">
        <v>10</v>
      </c>
      <c r="I94" s="19">
        <f>SUM(C94:H94)</f>
        <v>75</v>
      </c>
    </row>
    <row r="95" spans="1:95" ht="15" thickBot="1" x14ac:dyDescent="0.35">
      <c r="A95" s="116">
        <v>2</v>
      </c>
      <c r="B95" s="32" t="s">
        <v>45</v>
      </c>
      <c r="C95" s="22">
        <v>48</v>
      </c>
      <c r="D95" s="22">
        <v>46</v>
      </c>
      <c r="E95" s="22">
        <v>50</v>
      </c>
      <c r="F95" s="22">
        <v>50</v>
      </c>
      <c r="G95" s="22">
        <v>38</v>
      </c>
      <c r="H95" s="19">
        <v>35</v>
      </c>
      <c r="I95" s="19">
        <f t="shared" ref="I95:I100" si="15">SUM(C95:H95)</f>
        <v>267</v>
      </c>
    </row>
    <row r="96" spans="1:95" ht="15" thickBot="1" x14ac:dyDescent="0.35">
      <c r="A96" s="116">
        <v>3</v>
      </c>
      <c r="B96" s="34" t="s">
        <v>46</v>
      </c>
      <c r="C96" s="18">
        <v>52</v>
      </c>
      <c r="D96" s="18">
        <v>50</v>
      </c>
      <c r="E96" s="18">
        <v>56</v>
      </c>
      <c r="F96" s="18">
        <v>51</v>
      </c>
      <c r="G96" s="18">
        <v>54</v>
      </c>
      <c r="H96" s="19">
        <v>49</v>
      </c>
      <c r="I96" s="19">
        <f t="shared" si="15"/>
        <v>312</v>
      </c>
    </row>
    <row r="97" spans="1:17" ht="15" thickBot="1" x14ac:dyDescent="0.35">
      <c r="A97" s="116">
        <v>4</v>
      </c>
      <c r="B97" s="34" t="s">
        <v>47</v>
      </c>
      <c r="C97" s="27">
        <v>0</v>
      </c>
      <c r="D97" s="27">
        <v>0</v>
      </c>
      <c r="E97" s="27">
        <v>0</v>
      </c>
      <c r="F97" s="27">
        <v>0</v>
      </c>
      <c r="G97" s="27">
        <v>0</v>
      </c>
      <c r="H97" s="24">
        <v>0</v>
      </c>
      <c r="I97" s="19">
        <f t="shared" si="15"/>
        <v>0</v>
      </c>
    </row>
    <row r="98" spans="1:17" ht="15" thickBot="1" x14ac:dyDescent="0.35">
      <c r="A98" s="116">
        <v>5</v>
      </c>
      <c r="B98" s="34" t="s">
        <v>48</v>
      </c>
      <c r="C98" s="23">
        <v>1</v>
      </c>
      <c r="D98" s="23">
        <v>1</v>
      </c>
      <c r="E98" s="23">
        <v>1</v>
      </c>
      <c r="F98" s="23">
        <v>0</v>
      </c>
      <c r="G98" s="23">
        <v>0</v>
      </c>
      <c r="H98" s="21">
        <v>0</v>
      </c>
      <c r="I98" s="19">
        <f t="shared" si="15"/>
        <v>3</v>
      </c>
    </row>
    <row r="99" spans="1:17" ht="15" thickBot="1" x14ac:dyDescent="0.35">
      <c r="A99" s="116">
        <v>6</v>
      </c>
      <c r="B99" s="32" t="s">
        <v>49</v>
      </c>
      <c r="C99" s="19">
        <v>1</v>
      </c>
      <c r="D99" s="19">
        <v>1</v>
      </c>
      <c r="E99" s="19">
        <v>1</v>
      </c>
      <c r="F99" s="19">
        <v>1</v>
      </c>
      <c r="G99" s="19">
        <v>0</v>
      </c>
      <c r="H99" s="19">
        <v>0</v>
      </c>
      <c r="I99" s="19">
        <f t="shared" si="15"/>
        <v>4</v>
      </c>
    </row>
    <row r="100" spans="1:17" ht="15" thickBot="1" x14ac:dyDescent="0.35">
      <c r="A100" s="116">
        <v>7</v>
      </c>
      <c r="B100" s="32" t="s">
        <v>50</v>
      </c>
      <c r="C100" s="21">
        <v>4</v>
      </c>
      <c r="D100" s="21">
        <v>3</v>
      </c>
      <c r="E100" s="21">
        <v>6</v>
      </c>
      <c r="F100" s="21">
        <v>4</v>
      </c>
      <c r="G100" s="21">
        <v>2</v>
      </c>
      <c r="H100" s="21">
        <v>1</v>
      </c>
      <c r="I100" s="19">
        <f t="shared" si="15"/>
        <v>20</v>
      </c>
    </row>
    <row r="101" spans="1:17" ht="15" thickBot="1" x14ac:dyDescent="0.35">
      <c r="A101" s="210" t="s">
        <v>10</v>
      </c>
      <c r="B101" s="212"/>
      <c r="C101" s="115">
        <f>SUM(C94:C100)</f>
        <v>119</v>
      </c>
      <c r="D101" s="115">
        <f t="shared" ref="D101:I101" si="16">SUM(D94:D100)</f>
        <v>114</v>
      </c>
      <c r="E101" s="115">
        <f t="shared" si="16"/>
        <v>127</v>
      </c>
      <c r="F101" s="115">
        <f t="shared" si="16"/>
        <v>119</v>
      </c>
      <c r="G101" s="115">
        <f t="shared" si="16"/>
        <v>107</v>
      </c>
      <c r="H101" s="115">
        <f t="shared" si="16"/>
        <v>95</v>
      </c>
      <c r="I101" s="115">
        <f t="shared" si="16"/>
        <v>681</v>
      </c>
    </row>
    <row r="102" spans="1:17" x14ac:dyDescent="0.3">
      <c r="A102" s="1"/>
    </row>
    <row r="103" spans="1:17" x14ac:dyDescent="0.3">
      <c r="A103" s="112" t="s">
        <v>37</v>
      </c>
    </row>
    <row r="104" spans="1:17" ht="15" thickBot="1" x14ac:dyDescent="0.35">
      <c r="A104" s="1"/>
    </row>
    <row r="105" spans="1:17" ht="43.2" x14ac:dyDescent="0.3">
      <c r="A105" s="45" t="s">
        <v>6</v>
      </c>
      <c r="B105" s="46" t="s">
        <v>18</v>
      </c>
      <c r="C105" s="216" t="s">
        <v>79</v>
      </c>
      <c r="D105" s="217"/>
      <c r="E105" s="201" t="s">
        <v>42</v>
      </c>
      <c r="F105" s="201"/>
      <c r="G105" s="201" t="s">
        <v>80</v>
      </c>
      <c r="H105" s="201"/>
      <c r="I105" s="201" t="s">
        <v>81</v>
      </c>
      <c r="J105" s="201"/>
      <c r="K105" s="201" t="s">
        <v>82</v>
      </c>
      <c r="L105" s="201"/>
      <c r="M105" s="201" t="s">
        <v>83</v>
      </c>
      <c r="N105" s="201"/>
      <c r="O105" s="202" t="s">
        <v>10</v>
      </c>
      <c r="P105" s="203"/>
      <c r="Q105" s="204"/>
    </row>
    <row r="106" spans="1:17" ht="15" thickBot="1" x14ac:dyDescent="0.35">
      <c r="A106" s="43"/>
      <c r="B106" s="44"/>
      <c r="C106" s="125" t="s">
        <v>29</v>
      </c>
      <c r="D106" s="125" t="s">
        <v>30</v>
      </c>
      <c r="E106" s="125" t="s">
        <v>29</v>
      </c>
      <c r="F106" s="125" t="s">
        <v>30</v>
      </c>
      <c r="G106" s="125" t="s">
        <v>29</v>
      </c>
      <c r="H106" s="125" t="s">
        <v>30</v>
      </c>
      <c r="I106" s="125" t="s">
        <v>29</v>
      </c>
      <c r="J106" s="125" t="s">
        <v>30</v>
      </c>
      <c r="K106" s="125" t="s">
        <v>29</v>
      </c>
      <c r="L106" s="125" t="s">
        <v>30</v>
      </c>
      <c r="M106" s="125" t="s">
        <v>29</v>
      </c>
      <c r="N106" s="125" t="s">
        <v>30</v>
      </c>
      <c r="O106" s="125" t="s">
        <v>29</v>
      </c>
      <c r="P106" s="125" t="s">
        <v>30</v>
      </c>
      <c r="Q106" s="125" t="s">
        <v>62</v>
      </c>
    </row>
    <row r="107" spans="1:17" ht="15" thickBot="1" x14ac:dyDescent="0.35">
      <c r="A107" s="130">
        <v>1</v>
      </c>
      <c r="B107" s="39" t="s">
        <v>44</v>
      </c>
      <c r="C107" s="18">
        <v>297</v>
      </c>
      <c r="D107" s="18">
        <v>219</v>
      </c>
      <c r="E107" s="18">
        <v>261</v>
      </c>
      <c r="F107" s="18">
        <v>160</v>
      </c>
      <c r="G107" s="18">
        <v>152</v>
      </c>
      <c r="H107" s="18">
        <v>89</v>
      </c>
      <c r="I107" s="18">
        <v>136</v>
      </c>
      <c r="J107" s="18">
        <v>82</v>
      </c>
      <c r="K107" s="18">
        <v>101</v>
      </c>
      <c r="L107" s="18">
        <v>63</v>
      </c>
      <c r="M107" s="18">
        <v>106</v>
      </c>
      <c r="N107" s="18">
        <v>48</v>
      </c>
      <c r="O107" s="18">
        <f>SUM(C107+E107+G107+I107+K107+M107)</f>
        <v>1053</v>
      </c>
      <c r="P107" s="18">
        <f>SUM(D107+F107+H107+J107+L107+N107)</f>
        <v>661</v>
      </c>
      <c r="Q107" s="18">
        <f>P107+O107</f>
        <v>1714</v>
      </c>
    </row>
    <row r="108" spans="1:17" ht="15" thickBot="1" x14ac:dyDescent="0.35">
      <c r="A108" s="130">
        <v>2</v>
      </c>
      <c r="B108" s="39" t="s">
        <v>45</v>
      </c>
      <c r="C108" s="18">
        <v>1136</v>
      </c>
      <c r="D108" s="18">
        <v>808</v>
      </c>
      <c r="E108" s="18">
        <v>879</v>
      </c>
      <c r="F108" s="18">
        <v>577</v>
      </c>
      <c r="G108" s="18">
        <v>682</v>
      </c>
      <c r="H108" s="18">
        <v>405</v>
      </c>
      <c r="I108" s="18">
        <v>534</v>
      </c>
      <c r="J108" s="18">
        <v>310</v>
      </c>
      <c r="K108" s="18">
        <v>415</v>
      </c>
      <c r="L108" s="18">
        <v>195</v>
      </c>
      <c r="M108" s="18">
        <v>360</v>
      </c>
      <c r="N108" s="18">
        <v>179</v>
      </c>
      <c r="O108" s="18">
        <f>SUM(C108+E108+G108+I108+K108+M108)</f>
        <v>4006</v>
      </c>
      <c r="P108" s="18">
        <f t="shared" ref="P108:P113" si="17">SUM(D108+F108+H108+J108+L108+N108)</f>
        <v>2474</v>
      </c>
      <c r="Q108" s="18">
        <f t="shared" ref="Q108:Q113" si="18">P108+O108</f>
        <v>6480</v>
      </c>
    </row>
    <row r="109" spans="1:17" ht="15" thickBot="1" x14ac:dyDescent="0.35">
      <c r="A109" s="130">
        <v>3</v>
      </c>
      <c r="B109" s="39" t="s">
        <v>46</v>
      </c>
      <c r="C109" s="18">
        <v>1054</v>
      </c>
      <c r="D109" s="18">
        <v>720</v>
      </c>
      <c r="E109" s="18">
        <v>700</v>
      </c>
      <c r="F109" s="18">
        <v>488</v>
      </c>
      <c r="G109" s="18">
        <v>682</v>
      </c>
      <c r="H109" s="18">
        <v>362</v>
      </c>
      <c r="I109" s="18">
        <v>528</v>
      </c>
      <c r="J109" s="18">
        <v>216</v>
      </c>
      <c r="K109" s="18">
        <v>449</v>
      </c>
      <c r="L109" s="18">
        <v>177</v>
      </c>
      <c r="M109" s="18">
        <v>375</v>
      </c>
      <c r="N109" s="18">
        <v>183</v>
      </c>
      <c r="O109" s="18">
        <f>SUM(C109+E109+G109+I109+K109+M109)</f>
        <v>3788</v>
      </c>
      <c r="P109" s="18">
        <f t="shared" si="17"/>
        <v>2146</v>
      </c>
      <c r="Q109" s="18">
        <f t="shared" si="18"/>
        <v>5934</v>
      </c>
    </row>
    <row r="110" spans="1:17" ht="15" thickBot="1" x14ac:dyDescent="0.35">
      <c r="A110" s="116">
        <v>4</v>
      </c>
      <c r="B110" s="34" t="s">
        <v>47</v>
      </c>
      <c r="C110" s="18">
        <v>0</v>
      </c>
      <c r="D110" s="18">
        <v>0</v>
      </c>
      <c r="E110" s="27"/>
      <c r="F110" s="27"/>
      <c r="G110" s="23">
        <v>0</v>
      </c>
      <c r="H110" s="23">
        <v>0</v>
      </c>
      <c r="I110" s="23">
        <v>0</v>
      </c>
      <c r="J110" s="23">
        <v>0</v>
      </c>
      <c r="K110" s="23">
        <v>0</v>
      </c>
      <c r="L110" s="23">
        <v>0</v>
      </c>
      <c r="M110" s="23">
        <v>0</v>
      </c>
      <c r="N110" s="23">
        <v>0</v>
      </c>
      <c r="O110" s="18">
        <f>SUM(C110+E110+G110+I110+K110+M110)</f>
        <v>0</v>
      </c>
      <c r="P110" s="18">
        <f t="shared" si="17"/>
        <v>0</v>
      </c>
      <c r="Q110" s="18">
        <f t="shared" si="18"/>
        <v>0</v>
      </c>
    </row>
    <row r="111" spans="1:17" ht="15" thickBot="1" x14ac:dyDescent="0.35">
      <c r="A111" s="116">
        <v>5</v>
      </c>
      <c r="B111" s="34" t="s">
        <v>48</v>
      </c>
      <c r="C111" s="23">
        <v>14</v>
      </c>
      <c r="D111" s="23">
        <v>10</v>
      </c>
      <c r="E111" s="23">
        <v>10</v>
      </c>
      <c r="F111" s="23">
        <v>3</v>
      </c>
      <c r="G111" s="23">
        <v>5</v>
      </c>
      <c r="H111" s="23">
        <v>2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18">
        <f>SUM(C111+E111+G111+I111+K111+M111)</f>
        <v>29</v>
      </c>
      <c r="P111" s="18">
        <f t="shared" si="17"/>
        <v>15</v>
      </c>
      <c r="Q111" s="18">
        <f t="shared" si="18"/>
        <v>44</v>
      </c>
    </row>
    <row r="112" spans="1:17" ht="15" thickBot="1" x14ac:dyDescent="0.35">
      <c r="A112" s="116">
        <v>6</v>
      </c>
      <c r="B112" s="34" t="s">
        <v>49</v>
      </c>
      <c r="C112" s="18">
        <v>12</v>
      </c>
      <c r="D112" s="18">
        <v>10</v>
      </c>
      <c r="E112" s="18">
        <v>5</v>
      </c>
      <c r="F112" s="18">
        <v>5</v>
      </c>
      <c r="G112" s="18">
        <v>6</v>
      </c>
      <c r="H112" s="18">
        <v>2</v>
      </c>
      <c r="I112" s="18">
        <v>5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f>SUM(C112+E112+G112+I112+K112+M112)</f>
        <v>28</v>
      </c>
      <c r="P112" s="18">
        <f t="shared" si="17"/>
        <v>17</v>
      </c>
      <c r="Q112" s="18">
        <f t="shared" si="18"/>
        <v>45</v>
      </c>
    </row>
    <row r="113" spans="1:18" ht="15" thickBot="1" x14ac:dyDescent="0.35">
      <c r="A113" s="116">
        <v>7</v>
      </c>
      <c r="B113" s="34" t="s">
        <v>50</v>
      </c>
      <c r="C113" s="23">
        <v>51</v>
      </c>
      <c r="D113" s="23">
        <v>61</v>
      </c>
      <c r="E113" s="23">
        <v>90</v>
      </c>
      <c r="F113" s="23">
        <v>50</v>
      </c>
      <c r="G113" s="23">
        <v>31</v>
      </c>
      <c r="H113" s="23">
        <v>23</v>
      </c>
      <c r="I113" s="23">
        <v>43</v>
      </c>
      <c r="J113" s="23">
        <v>8</v>
      </c>
      <c r="K113" s="23">
        <v>16</v>
      </c>
      <c r="L113" s="23">
        <v>11</v>
      </c>
      <c r="M113" s="23">
        <v>19</v>
      </c>
      <c r="N113" s="23">
        <v>8</v>
      </c>
      <c r="O113" s="18">
        <f>C113+E113+G113+I113+K113+M113</f>
        <v>250</v>
      </c>
      <c r="P113" s="18">
        <f t="shared" si="17"/>
        <v>161</v>
      </c>
      <c r="Q113" s="18">
        <f t="shared" si="18"/>
        <v>411</v>
      </c>
    </row>
    <row r="114" spans="1:18" ht="15" thickBot="1" x14ac:dyDescent="0.35">
      <c r="A114" s="210" t="s">
        <v>10</v>
      </c>
      <c r="B114" s="211"/>
      <c r="C114" s="126">
        <f>SUM(C107:C113)</f>
        <v>2564</v>
      </c>
      <c r="D114" s="126">
        <f t="shared" ref="D114:P114" si="19">SUM(D107:D113)</f>
        <v>1828</v>
      </c>
      <c r="E114" s="126">
        <f t="shared" si="19"/>
        <v>1945</v>
      </c>
      <c r="F114" s="126">
        <f t="shared" si="19"/>
        <v>1283</v>
      </c>
      <c r="G114" s="126">
        <f t="shared" si="19"/>
        <v>1558</v>
      </c>
      <c r="H114" s="126">
        <f t="shared" si="19"/>
        <v>883</v>
      </c>
      <c r="I114" s="126">
        <f t="shared" si="19"/>
        <v>1246</v>
      </c>
      <c r="J114" s="126">
        <f t="shared" si="19"/>
        <v>616</v>
      </c>
      <c r="K114" s="126">
        <f t="shared" si="19"/>
        <v>981</v>
      </c>
      <c r="L114" s="126">
        <f t="shared" si="19"/>
        <v>446</v>
      </c>
      <c r="M114" s="126">
        <f t="shared" si="19"/>
        <v>860</v>
      </c>
      <c r="N114" s="126">
        <f t="shared" si="19"/>
        <v>418</v>
      </c>
      <c r="O114" s="126">
        <f t="shared" si="19"/>
        <v>9154</v>
      </c>
      <c r="P114" s="126">
        <f t="shared" si="19"/>
        <v>5474</v>
      </c>
      <c r="Q114" s="126">
        <f>SUM(Q107:Q113)</f>
        <v>14628</v>
      </c>
    </row>
    <row r="115" spans="1:18" ht="15.6" customHeight="1" x14ac:dyDescent="0.3">
      <c r="B115" s="195" t="s">
        <v>110</v>
      </c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</row>
    <row r="116" spans="1:18" ht="14.4" customHeight="1" x14ac:dyDescent="0.3">
      <c r="B116" s="184" t="s">
        <v>111</v>
      </c>
      <c r="C116" s="181" t="s">
        <v>112</v>
      </c>
      <c r="D116" s="196" t="s">
        <v>113</v>
      </c>
      <c r="E116" s="197"/>
      <c r="F116" s="197"/>
      <c r="G116" s="197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8"/>
    </row>
    <row r="117" spans="1:18" ht="14.4" customHeight="1" x14ac:dyDescent="0.3">
      <c r="B117" s="184"/>
      <c r="C117" s="182"/>
      <c r="D117" s="184" t="s">
        <v>131</v>
      </c>
      <c r="E117" s="184"/>
      <c r="F117" s="184" t="s">
        <v>133</v>
      </c>
      <c r="G117" s="184"/>
      <c r="H117" s="184" t="s">
        <v>132</v>
      </c>
      <c r="I117" s="184"/>
      <c r="J117" s="184" t="s">
        <v>116</v>
      </c>
      <c r="K117" s="184"/>
      <c r="L117" s="184" t="s">
        <v>117</v>
      </c>
      <c r="M117" s="184"/>
      <c r="N117" s="184" t="s">
        <v>118</v>
      </c>
      <c r="O117" s="184"/>
      <c r="P117" s="184" t="s">
        <v>10</v>
      </c>
      <c r="Q117" s="184"/>
      <c r="R117" s="184"/>
    </row>
    <row r="118" spans="1:18" ht="14.4" customHeight="1" x14ac:dyDescent="0.3">
      <c r="B118" s="184"/>
      <c r="C118" s="182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</row>
    <row r="119" spans="1:18" ht="15.6" x14ac:dyDescent="0.3">
      <c r="B119" s="184"/>
      <c r="C119" s="183"/>
      <c r="D119" s="164" t="s">
        <v>29</v>
      </c>
      <c r="E119" s="164" t="s">
        <v>30</v>
      </c>
      <c r="F119" s="164" t="s">
        <v>29</v>
      </c>
      <c r="G119" s="164" t="s">
        <v>30</v>
      </c>
      <c r="H119" s="164" t="s">
        <v>29</v>
      </c>
      <c r="I119" s="164" t="s">
        <v>30</v>
      </c>
      <c r="J119" s="164" t="s">
        <v>29</v>
      </c>
      <c r="K119" s="164" t="s">
        <v>30</v>
      </c>
      <c r="L119" s="164" t="s">
        <v>29</v>
      </c>
      <c r="M119" s="164" t="s">
        <v>30</v>
      </c>
      <c r="N119" s="164" t="s">
        <v>29</v>
      </c>
      <c r="O119" s="164" t="s">
        <v>30</v>
      </c>
      <c r="P119" s="164" t="s">
        <v>29</v>
      </c>
      <c r="Q119" s="164" t="s">
        <v>30</v>
      </c>
      <c r="R119" s="164" t="s">
        <v>54</v>
      </c>
    </row>
    <row r="120" spans="1:18" ht="15.6" x14ac:dyDescent="0.3">
      <c r="B120" s="181" t="s">
        <v>44</v>
      </c>
      <c r="C120" s="164" t="s">
        <v>119</v>
      </c>
      <c r="D120" s="164">
        <f>C107</f>
        <v>297</v>
      </c>
      <c r="E120" s="164">
        <f t="shared" ref="E120:G120" si="20">D107</f>
        <v>219</v>
      </c>
      <c r="F120" s="164">
        <f t="shared" si="20"/>
        <v>261</v>
      </c>
      <c r="G120" s="164">
        <f t="shared" si="20"/>
        <v>160</v>
      </c>
      <c r="H120" s="164"/>
      <c r="I120" s="164"/>
      <c r="J120" s="164"/>
      <c r="K120" s="164"/>
      <c r="L120" s="164"/>
      <c r="M120" s="164"/>
      <c r="N120" s="164"/>
      <c r="O120" s="164"/>
      <c r="P120" s="164">
        <f>N120+L120+J120+H120+F120+D120</f>
        <v>558</v>
      </c>
      <c r="Q120" s="164">
        <f>O120+M120+K120+I120+G120+E120</f>
        <v>379</v>
      </c>
      <c r="R120" s="164">
        <f>Q120+P120</f>
        <v>937</v>
      </c>
    </row>
    <row r="121" spans="1:18" ht="15.6" x14ac:dyDescent="0.3">
      <c r="B121" s="182"/>
      <c r="C121" s="164" t="s">
        <v>120</v>
      </c>
      <c r="D121" s="164"/>
      <c r="E121" s="164"/>
      <c r="F121" s="164"/>
      <c r="G121" s="164"/>
      <c r="H121" s="164">
        <f>G107-SUM(H122:H124)</f>
        <v>36</v>
      </c>
      <c r="I121" s="164">
        <f t="shared" ref="I121:O121" si="21">H107-SUM(I122:I124)</f>
        <v>79</v>
      </c>
      <c r="J121" s="164">
        <f t="shared" si="21"/>
        <v>32</v>
      </c>
      <c r="K121" s="164">
        <f t="shared" si="21"/>
        <v>75</v>
      </c>
      <c r="L121" s="164">
        <f t="shared" si="21"/>
        <v>29</v>
      </c>
      <c r="M121" s="164">
        <f t="shared" si="21"/>
        <v>56</v>
      </c>
      <c r="N121" s="164">
        <f t="shared" si="21"/>
        <v>19</v>
      </c>
      <c r="O121" s="164">
        <f t="shared" si="21"/>
        <v>42</v>
      </c>
      <c r="P121" s="164">
        <f t="shared" ref="P121:P164" si="22">N121+L121+J121+H121+F121+D121</f>
        <v>116</v>
      </c>
      <c r="Q121" s="164">
        <f t="shared" ref="Q121:Q164" si="23">O121+M121+K121+I121+G121+E121</f>
        <v>252</v>
      </c>
      <c r="R121" s="164">
        <f t="shared" ref="R121:R164" si="24">Q121+P121</f>
        <v>368</v>
      </c>
    </row>
    <row r="122" spans="1:18" ht="15.6" x14ac:dyDescent="0.3">
      <c r="B122" s="182"/>
      <c r="C122" s="164" t="s">
        <v>121</v>
      </c>
      <c r="D122" s="164"/>
      <c r="E122" s="164"/>
      <c r="F122" s="164"/>
      <c r="G122" s="164"/>
      <c r="H122" s="164">
        <f>196-H127</f>
        <v>116</v>
      </c>
      <c r="I122" s="164">
        <f>14-I127</f>
        <v>10</v>
      </c>
      <c r="J122" s="164">
        <f>134-J127</f>
        <v>104</v>
      </c>
      <c r="K122" s="164">
        <f>10-K127</f>
        <v>7</v>
      </c>
      <c r="L122" s="164">
        <f>97-L127</f>
        <v>72</v>
      </c>
      <c r="M122" s="164">
        <f>13-M127</f>
        <v>7</v>
      </c>
      <c r="N122" s="164">
        <f>107-N127</f>
        <v>87</v>
      </c>
      <c r="O122" s="164">
        <f>9-O127</f>
        <v>6</v>
      </c>
      <c r="P122" s="164">
        <f t="shared" si="22"/>
        <v>379</v>
      </c>
      <c r="Q122" s="164">
        <f t="shared" si="23"/>
        <v>30</v>
      </c>
      <c r="R122" s="164">
        <f t="shared" si="24"/>
        <v>409</v>
      </c>
    </row>
    <row r="123" spans="1:18" ht="15.6" x14ac:dyDescent="0.3">
      <c r="B123" s="182"/>
      <c r="C123" s="164" t="s">
        <v>122</v>
      </c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>
        <f t="shared" si="22"/>
        <v>0</v>
      </c>
      <c r="Q123" s="164">
        <f t="shared" si="23"/>
        <v>0</v>
      </c>
      <c r="R123" s="164">
        <f t="shared" si="24"/>
        <v>0</v>
      </c>
    </row>
    <row r="124" spans="1:18" ht="15.6" x14ac:dyDescent="0.3">
      <c r="B124" s="183"/>
      <c r="C124" s="164" t="s">
        <v>123</v>
      </c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>
        <f t="shared" si="22"/>
        <v>0</v>
      </c>
      <c r="Q124" s="164">
        <f t="shared" si="23"/>
        <v>0</v>
      </c>
      <c r="R124" s="164">
        <f t="shared" si="24"/>
        <v>0</v>
      </c>
    </row>
    <row r="125" spans="1:18" ht="15.6" x14ac:dyDescent="0.3">
      <c r="B125" s="181" t="s">
        <v>45</v>
      </c>
      <c r="C125" s="164" t="s">
        <v>119</v>
      </c>
      <c r="D125" s="164">
        <f>C108</f>
        <v>1136</v>
      </c>
      <c r="E125" s="164">
        <f t="shared" ref="E125:G125" si="25">D108</f>
        <v>808</v>
      </c>
      <c r="F125" s="164">
        <f t="shared" si="25"/>
        <v>879</v>
      </c>
      <c r="G125" s="164">
        <f t="shared" si="25"/>
        <v>577</v>
      </c>
      <c r="H125" s="164"/>
      <c r="I125" s="164"/>
      <c r="J125" s="164"/>
      <c r="K125" s="164"/>
      <c r="L125" s="164"/>
      <c r="M125" s="164"/>
      <c r="N125" s="164"/>
      <c r="O125" s="164"/>
      <c r="P125" s="164">
        <f t="shared" si="22"/>
        <v>2015</v>
      </c>
      <c r="Q125" s="164">
        <f t="shared" si="23"/>
        <v>1385</v>
      </c>
      <c r="R125" s="164">
        <f t="shared" si="24"/>
        <v>3400</v>
      </c>
    </row>
    <row r="126" spans="1:18" ht="15.6" x14ac:dyDescent="0.3">
      <c r="B126" s="182"/>
      <c r="C126" s="164" t="s">
        <v>120</v>
      </c>
      <c r="D126" s="164"/>
      <c r="E126" s="164"/>
      <c r="F126" s="164"/>
      <c r="G126" s="164"/>
      <c r="H126" s="164">
        <f>G108-SUM(H127:H128)</f>
        <v>586</v>
      </c>
      <c r="I126" s="164">
        <f t="shared" ref="I126:O126" si="26">H108-SUM(I127:I128)</f>
        <v>399</v>
      </c>
      <c r="J126" s="164">
        <f t="shared" si="26"/>
        <v>484</v>
      </c>
      <c r="K126" s="164">
        <f t="shared" si="26"/>
        <v>299</v>
      </c>
      <c r="L126" s="164">
        <f t="shared" si="26"/>
        <v>390</v>
      </c>
      <c r="M126" s="164">
        <f t="shared" si="26"/>
        <v>189</v>
      </c>
      <c r="N126" s="164">
        <f t="shared" si="26"/>
        <v>340</v>
      </c>
      <c r="O126" s="164">
        <f t="shared" si="26"/>
        <v>176</v>
      </c>
      <c r="P126" s="164">
        <f t="shared" si="22"/>
        <v>1800</v>
      </c>
      <c r="Q126" s="164">
        <f t="shared" si="23"/>
        <v>1063</v>
      </c>
      <c r="R126" s="164">
        <f t="shared" si="24"/>
        <v>2863</v>
      </c>
    </row>
    <row r="127" spans="1:18" ht="15.6" x14ac:dyDescent="0.3">
      <c r="B127" s="182"/>
      <c r="C127" s="164" t="s">
        <v>121</v>
      </c>
      <c r="D127" s="164"/>
      <c r="E127" s="164"/>
      <c r="F127" s="164"/>
      <c r="G127" s="164"/>
      <c r="H127" s="164">
        <v>80</v>
      </c>
      <c r="I127" s="164">
        <v>4</v>
      </c>
      <c r="J127" s="164">
        <v>30</v>
      </c>
      <c r="K127" s="164">
        <v>3</v>
      </c>
      <c r="L127" s="164">
        <v>25</v>
      </c>
      <c r="M127" s="164">
        <v>6</v>
      </c>
      <c r="N127" s="164">
        <v>20</v>
      </c>
      <c r="O127" s="164">
        <v>3</v>
      </c>
      <c r="P127" s="164">
        <f t="shared" si="22"/>
        <v>155</v>
      </c>
      <c r="Q127" s="164">
        <f t="shared" si="23"/>
        <v>16</v>
      </c>
      <c r="R127" s="164">
        <f t="shared" si="24"/>
        <v>171</v>
      </c>
    </row>
    <row r="128" spans="1:18" ht="15.6" x14ac:dyDescent="0.3">
      <c r="B128" s="182"/>
      <c r="C128" s="164" t="s">
        <v>122</v>
      </c>
      <c r="D128" s="164"/>
      <c r="E128" s="164"/>
      <c r="F128" s="164"/>
      <c r="G128" s="164"/>
      <c r="H128" s="164">
        <v>16</v>
      </c>
      <c r="I128" s="164">
        <v>2</v>
      </c>
      <c r="J128" s="164">
        <v>20</v>
      </c>
      <c r="K128" s="164">
        <v>8</v>
      </c>
      <c r="L128" s="164"/>
      <c r="M128" s="164"/>
      <c r="N128" s="164"/>
      <c r="O128" s="164"/>
      <c r="P128" s="164">
        <f t="shared" si="22"/>
        <v>36</v>
      </c>
      <c r="Q128" s="164">
        <f t="shared" si="23"/>
        <v>10</v>
      </c>
      <c r="R128" s="164">
        <f t="shared" si="24"/>
        <v>46</v>
      </c>
    </row>
    <row r="129" spans="2:18" ht="15.6" x14ac:dyDescent="0.3">
      <c r="B129" s="183"/>
      <c r="C129" s="164" t="s">
        <v>123</v>
      </c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>
        <f t="shared" si="22"/>
        <v>0</v>
      </c>
      <c r="Q129" s="164">
        <f t="shared" si="23"/>
        <v>0</v>
      </c>
      <c r="R129" s="164">
        <f t="shared" si="24"/>
        <v>0</v>
      </c>
    </row>
    <row r="130" spans="2:18" ht="15.6" x14ac:dyDescent="0.3">
      <c r="B130" s="181" t="s">
        <v>46</v>
      </c>
      <c r="C130" s="164" t="s">
        <v>119</v>
      </c>
      <c r="D130" s="164">
        <f>C109</f>
        <v>1054</v>
      </c>
      <c r="E130" s="164">
        <f t="shared" ref="E130:G130" si="27">D109</f>
        <v>720</v>
      </c>
      <c r="F130" s="164">
        <f t="shared" si="27"/>
        <v>700</v>
      </c>
      <c r="G130" s="164">
        <f t="shared" si="27"/>
        <v>488</v>
      </c>
      <c r="H130" s="164"/>
      <c r="I130" s="164"/>
      <c r="J130" s="164"/>
      <c r="K130" s="164"/>
      <c r="L130" s="164"/>
      <c r="M130" s="164"/>
      <c r="N130" s="164"/>
      <c r="O130" s="164"/>
      <c r="P130" s="164">
        <f t="shared" si="22"/>
        <v>1754</v>
      </c>
      <c r="Q130" s="164">
        <f t="shared" si="23"/>
        <v>1208</v>
      </c>
      <c r="R130" s="164">
        <f t="shared" si="24"/>
        <v>2962</v>
      </c>
    </row>
    <row r="131" spans="2:18" ht="15.6" x14ac:dyDescent="0.3">
      <c r="B131" s="182"/>
      <c r="C131" s="164" t="s">
        <v>120</v>
      </c>
      <c r="D131" s="164"/>
      <c r="E131" s="164"/>
      <c r="F131" s="164"/>
      <c r="G131" s="164"/>
      <c r="H131" s="164">
        <f>G109</f>
        <v>682</v>
      </c>
      <c r="I131" s="164">
        <f t="shared" ref="I131:O131" si="28">H109</f>
        <v>362</v>
      </c>
      <c r="J131" s="164">
        <f t="shared" si="28"/>
        <v>528</v>
      </c>
      <c r="K131" s="164">
        <f t="shared" si="28"/>
        <v>216</v>
      </c>
      <c r="L131" s="164">
        <f t="shared" si="28"/>
        <v>449</v>
      </c>
      <c r="M131" s="164">
        <f t="shared" si="28"/>
        <v>177</v>
      </c>
      <c r="N131" s="164">
        <f t="shared" si="28"/>
        <v>375</v>
      </c>
      <c r="O131" s="164">
        <f t="shared" si="28"/>
        <v>183</v>
      </c>
      <c r="P131" s="164">
        <f t="shared" si="22"/>
        <v>2034</v>
      </c>
      <c r="Q131" s="164">
        <f t="shared" si="23"/>
        <v>938</v>
      </c>
      <c r="R131" s="164">
        <f t="shared" si="24"/>
        <v>2972</v>
      </c>
    </row>
    <row r="132" spans="2:18" ht="15.6" x14ac:dyDescent="0.3">
      <c r="B132" s="182"/>
      <c r="C132" s="164" t="s">
        <v>121</v>
      </c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>
        <f t="shared" si="22"/>
        <v>0</v>
      </c>
      <c r="Q132" s="164">
        <f t="shared" si="23"/>
        <v>0</v>
      </c>
      <c r="R132" s="164">
        <f t="shared" si="24"/>
        <v>0</v>
      </c>
    </row>
    <row r="133" spans="2:18" ht="15.6" x14ac:dyDescent="0.3">
      <c r="B133" s="182"/>
      <c r="C133" s="164" t="s">
        <v>122</v>
      </c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>
        <f t="shared" si="22"/>
        <v>0</v>
      </c>
      <c r="Q133" s="164">
        <f t="shared" si="23"/>
        <v>0</v>
      </c>
      <c r="R133" s="164">
        <f t="shared" si="24"/>
        <v>0</v>
      </c>
    </row>
    <row r="134" spans="2:18" ht="15.6" x14ac:dyDescent="0.3">
      <c r="B134" s="183"/>
      <c r="C134" s="164" t="s">
        <v>123</v>
      </c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>
        <f t="shared" si="22"/>
        <v>0</v>
      </c>
      <c r="Q134" s="164">
        <f t="shared" si="23"/>
        <v>0</v>
      </c>
      <c r="R134" s="164">
        <f t="shared" si="24"/>
        <v>0</v>
      </c>
    </row>
    <row r="135" spans="2:18" ht="15.6" x14ac:dyDescent="0.3">
      <c r="B135" s="181" t="s">
        <v>47</v>
      </c>
      <c r="C135" s="164" t="s">
        <v>119</v>
      </c>
      <c r="D135" s="164">
        <f>C110</f>
        <v>0</v>
      </c>
      <c r="E135" s="164">
        <f t="shared" ref="E135:G135" si="29">D110</f>
        <v>0</v>
      </c>
      <c r="F135" s="164">
        <f t="shared" si="29"/>
        <v>0</v>
      </c>
      <c r="G135" s="164">
        <f t="shared" si="29"/>
        <v>0</v>
      </c>
      <c r="H135" s="164"/>
      <c r="I135" s="164"/>
      <c r="J135" s="164"/>
      <c r="K135" s="164"/>
      <c r="L135" s="164"/>
      <c r="M135" s="164"/>
      <c r="N135" s="164"/>
      <c r="O135" s="164"/>
      <c r="P135" s="164">
        <f t="shared" si="22"/>
        <v>0</v>
      </c>
      <c r="Q135" s="164">
        <f t="shared" si="23"/>
        <v>0</v>
      </c>
      <c r="R135" s="164">
        <f t="shared" si="24"/>
        <v>0</v>
      </c>
    </row>
    <row r="136" spans="2:18" ht="15.6" x14ac:dyDescent="0.3">
      <c r="B136" s="182"/>
      <c r="C136" s="164" t="s">
        <v>120</v>
      </c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>
        <f t="shared" si="22"/>
        <v>0</v>
      </c>
      <c r="Q136" s="164">
        <f t="shared" si="23"/>
        <v>0</v>
      </c>
      <c r="R136" s="164">
        <f t="shared" si="24"/>
        <v>0</v>
      </c>
    </row>
    <row r="137" spans="2:18" ht="15.6" x14ac:dyDescent="0.3">
      <c r="B137" s="182"/>
      <c r="C137" s="164" t="s">
        <v>121</v>
      </c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>
        <f t="shared" si="22"/>
        <v>0</v>
      </c>
      <c r="Q137" s="164">
        <f t="shared" si="23"/>
        <v>0</v>
      </c>
      <c r="R137" s="164">
        <f t="shared" si="24"/>
        <v>0</v>
      </c>
    </row>
    <row r="138" spans="2:18" ht="15.6" x14ac:dyDescent="0.3">
      <c r="B138" s="182"/>
      <c r="C138" s="164" t="s">
        <v>122</v>
      </c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>
        <f t="shared" si="22"/>
        <v>0</v>
      </c>
      <c r="Q138" s="164">
        <f t="shared" si="23"/>
        <v>0</v>
      </c>
      <c r="R138" s="164">
        <f t="shared" si="24"/>
        <v>0</v>
      </c>
    </row>
    <row r="139" spans="2:18" ht="15.6" x14ac:dyDescent="0.3">
      <c r="B139" s="183"/>
      <c r="C139" s="164" t="s">
        <v>123</v>
      </c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>
        <f t="shared" si="22"/>
        <v>0</v>
      </c>
      <c r="Q139" s="164">
        <f t="shared" si="23"/>
        <v>0</v>
      </c>
      <c r="R139" s="164">
        <f t="shared" si="24"/>
        <v>0</v>
      </c>
    </row>
    <row r="140" spans="2:18" ht="15.6" x14ac:dyDescent="0.3">
      <c r="B140" s="185" t="s">
        <v>124</v>
      </c>
      <c r="C140" s="165" t="s">
        <v>119</v>
      </c>
      <c r="D140" s="165"/>
      <c r="E140" s="165"/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65">
        <f t="shared" si="22"/>
        <v>0</v>
      </c>
      <c r="Q140" s="165">
        <f t="shared" si="23"/>
        <v>0</v>
      </c>
      <c r="R140" s="165">
        <f t="shared" si="24"/>
        <v>0</v>
      </c>
    </row>
    <row r="141" spans="2:18" ht="15.6" x14ac:dyDescent="0.3">
      <c r="B141" s="186"/>
      <c r="C141" s="165" t="s">
        <v>120</v>
      </c>
      <c r="D141" s="165"/>
      <c r="E141" s="165"/>
      <c r="F141" s="165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>
        <f t="shared" si="22"/>
        <v>0</v>
      </c>
      <c r="Q141" s="165">
        <f t="shared" si="23"/>
        <v>0</v>
      </c>
      <c r="R141" s="165">
        <f t="shared" si="24"/>
        <v>0</v>
      </c>
    </row>
    <row r="142" spans="2:18" ht="15.6" x14ac:dyDescent="0.3">
      <c r="B142" s="186"/>
      <c r="C142" s="165" t="s">
        <v>121</v>
      </c>
      <c r="D142" s="165"/>
      <c r="E142" s="165"/>
      <c r="F142" s="165"/>
      <c r="G142" s="165"/>
      <c r="H142" s="165"/>
      <c r="I142" s="165"/>
      <c r="J142" s="165"/>
      <c r="K142" s="165"/>
      <c r="L142" s="165"/>
      <c r="M142" s="165"/>
      <c r="N142" s="165"/>
      <c r="O142" s="165"/>
      <c r="P142" s="165">
        <f t="shared" si="22"/>
        <v>0</v>
      </c>
      <c r="Q142" s="165">
        <f t="shared" si="23"/>
        <v>0</v>
      </c>
      <c r="R142" s="165">
        <f t="shared" si="24"/>
        <v>0</v>
      </c>
    </row>
    <row r="143" spans="2:18" ht="15.6" x14ac:dyDescent="0.3">
      <c r="B143" s="186"/>
      <c r="C143" s="165" t="s">
        <v>122</v>
      </c>
      <c r="D143" s="165"/>
      <c r="E143" s="165"/>
      <c r="F143" s="165"/>
      <c r="G143" s="165"/>
      <c r="H143" s="165"/>
      <c r="I143" s="165"/>
      <c r="J143" s="165"/>
      <c r="K143" s="165"/>
      <c r="L143" s="165"/>
      <c r="M143" s="165"/>
      <c r="N143" s="165"/>
      <c r="O143" s="165"/>
      <c r="P143" s="165">
        <f t="shared" si="22"/>
        <v>0</v>
      </c>
      <c r="Q143" s="165">
        <f t="shared" si="23"/>
        <v>0</v>
      </c>
      <c r="R143" s="165">
        <f t="shared" si="24"/>
        <v>0</v>
      </c>
    </row>
    <row r="144" spans="2:18" ht="15.6" x14ac:dyDescent="0.3">
      <c r="B144" s="187"/>
      <c r="C144" s="165" t="s">
        <v>123</v>
      </c>
      <c r="D144" s="165"/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65">
        <f t="shared" si="22"/>
        <v>0</v>
      </c>
      <c r="Q144" s="165">
        <f t="shared" si="23"/>
        <v>0</v>
      </c>
      <c r="R144" s="165">
        <f t="shared" si="24"/>
        <v>0</v>
      </c>
    </row>
    <row r="145" spans="2:18" ht="15.6" x14ac:dyDescent="0.3">
      <c r="B145" s="185" t="s">
        <v>125</v>
      </c>
      <c r="C145" s="165" t="s">
        <v>119</v>
      </c>
      <c r="D145" s="165"/>
      <c r="E145" s="165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165">
        <f t="shared" si="22"/>
        <v>0</v>
      </c>
      <c r="Q145" s="165">
        <f t="shared" si="23"/>
        <v>0</v>
      </c>
      <c r="R145" s="165">
        <f t="shared" si="24"/>
        <v>0</v>
      </c>
    </row>
    <row r="146" spans="2:18" ht="15.6" x14ac:dyDescent="0.3">
      <c r="B146" s="186"/>
      <c r="C146" s="165" t="s">
        <v>120</v>
      </c>
      <c r="D146" s="165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>
        <f t="shared" si="22"/>
        <v>0</v>
      </c>
      <c r="Q146" s="165">
        <f t="shared" si="23"/>
        <v>0</v>
      </c>
      <c r="R146" s="165">
        <f t="shared" si="24"/>
        <v>0</v>
      </c>
    </row>
    <row r="147" spans="2:18" ht="15.6" x14ac:dyDescent="0.3">
      <c r="B147" s="186"/>
      <c r="C147" s="165" t="s">
        <v>121</v>
      </c>
      <c r="D147" s="165"/>
      <c r="E147" s="165"/>
      <c r="F147" s="165"/>
      <c r="G147" s="165"/>
      <c r="H147" s="165"/>
      <c r="I147" s="165"/>
      <c r="J147" s="165"/>
      <c r="K147" s="165"/>
      <c r="L147" s="165"/>
      <c r="M147" s="165"/>
      <c r="N147" s="165"/>
      <c r="O147" s="165"/>
      <c r="P147" s="165">
        <f t="shared" si="22"/>
        <v>0</v>
      </c>
      <c r="Q147" s="165">
        <f t="shared" si="23"/>
        <v>0</v>
      </c>
      <c r="R147" s="165">
        <f t="shared" si="24"/>
        <v>0</v>
      </c>
    </row>
    <row r="148" spans="2:18" ht="15.6" x14ac:dyDescent="0.3">
      <c r="B148" s="186"/>
      <c r="C148" s="165" t="s">
        <v>122</v>
      </c>
      <c r="D148" s="165"/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165">
        <f t="shared" si="22"/>
        <v>0</v>
      </c>
      <c r="Q148" s="165">
        <f t="shared" si="23"/>
        <v>0</v>
      </c>
      <c r="R148" s="165">
        <f t="shared" si="24"/>
        <v>0</v>
      </c>
    </row>
    <row r="149" spans="2:18" ht="15.6" x14ac:dyDescent="0.3">
      <c r="B149" s="187"/>
      <c r="C149" s="165" t="s">
        <v>123</v>
      </c>
      <c r="D149" s="165"/>
      <c r="E149" s="165"/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165">
        <f t="shared" si="22"/>
        <v>0</v>
      </c>
      <c r="Q149" s="165">
        <f t="shared" si="23"/>
        <v>0</v>
      </c>
      <c r="R149" s="165">
        <f t="shared" si="24"/>
        <v>0</v>
      </c>
    </row>
    <row r="150" spans="2:18" ht="15.6" x14ac:dyDescent="0.3">
      <c r="B150" s="185" t="s">
        <v>126</v>
      </c>
      <c r="C150" s="165" t="s">
        <v>119</v>
      </c>
      <c r="D150" s="165"/>
      <c r="E150" s="165"/>
      <c r="F150" s="165"/>
      <c r="G150" s="165"/>
      <c r="H150" s="165"/>
      <c r="I150" s="165"/>
      <c r="J150" s="165"/>
      <c r="K150" s="165"/>
      <c r="L150" s="165"/>
      <c r="M150" s="165"/>
      <c r="N150" s="165"/>
      <c r="O150" s="165"/>
      <c r="P150" s="165">
        <f t="shared" si="22"/>
        <v>0</v>
      </c>
      <c r="Q150" s="165">
        <f t="shared" si="23"/>
        <v>0</v>
      </c>
      <c r="R150" s="165">
        <f t="shared" si="24"/>
        <v>0</v>
      </c>
    </row>
    <row r="151" spans="2:18" ht="15.6" x14ac:dyDescent="0.3">
      <c r="B151" s="186"/>
      <c r="C151" s="165" t="s">
        <v>120</v>
      </c>
      <c r="D151" s="165"/>
      <c r="E151" s="165"/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165">
        <f t="shared" si="22"/>
        <v>0</v>
      </c>
      <c r="Q151" s="165">
        <f t="shared" si="23"/>
        <v>0</v>
      </c>
      <c r="R151" s="165">
        <f t="shared" si="24"/>
        <v>0</v>
      </c>
    </row>
    <row r="152" spans="2:18" ht="15.6" x14ac:dyDescent="0.3">
      <c r="B152" s="186"/>
      <c r="C152" s="165" t="s">
        <v>121</v>
      </c>
      <c r="D152" s="165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165">
        <f t="shared" si="22"/>
        <v>0</v>
      </c>
      <c r="Q152" s="165">
        <f t="shared" si="23"/>
        <v>0</v>
      </c>
      <c r="R152" s="165">
        <f t="shared" si="24"/>
        <v>0</v>
      </c>
    </row>
    <row r="153" spans="2:18" ht="15.6" x14ac:dyDescent="0.3">
      <c r="B153" s="186"/>
      <c r="C153" s="165" t="s">
        <v>122</v>
      </c>
      <c r="D153" s="165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>
        <f t="shared" si="22"/>
        <v>0</v>
      </c>
      <c r="Q153" s="165">
        <f t="shared" si="23"/>
        <v>0</v>
      </c>
      <c r="R153" s="165">
        <f t="shared" si="24"/>
        <v>0</v>
      </c>
    </row>
    <row r="154" spans="2:18" ht="15.6" x14ac:dyDescent="0.3">
      <c r="B154" s="187"/>
      <c r="C154" s="165" t="s">
        <v>123</v>
      </c>
      <c r="D154" s="165"/>
      <c r="E154" s="165"/>
      <c r="F154" s="165"/>
      <c r="G154" s="165"/>
      <c r="H154" s="165"/>
      <c r="I154" s="165"/>
      <c r="J154" s="165"/>
      <c r="K154" s="165"/>
      <c r="L154" s="165"/>
      <c r="M154" s="165"/>
      <c r="N154" s="165"/>
      <c r="O154" s="165"/>
      <c r="P154" s="165">
        <f t="shared" si="22"/>
        <v>0</v>
      </c>
      <c r="Q154" s="165">
        <f t="shared" si="23"/>
        <v>0</v>
      </c>
      <c r="R154" s="165">
        <f t="shared" si="24"/>
        <v>0</v>
      </c>
    </row>
    <row r="155" spans="2:18" ht="15.6" x14ac:dyDescent="0.3">
      <c r="B155" s="181" t="s">
        <v>127</v>
      </c>
      <c r="C155" s="164" t="s">
        <v>119</v>
      </c>
      <c r="D155" s="164">
        <f>C113</f>
        <v>51</v>
      </c>
      <c r="E155" s="164">
        <f t="shared" ref="E155:G155" si="30">D113</f>
        <v>61</v>
      </c>
      <c r="F155" s="164">
        <f t="shared" si="30"/>
        <v>90</v>
      </c>
      <c r="G155" s="164">
        <f t="shared" si="30"/>
        <v>50</v>
      </c>
      <c r="H155" s="164"/>
      <c r="I155" s="164"/>
      <c r="J155" s="164"/>
      <c r="K155" s="164"/>
      <c r="L155" s="164"/>
      <c r="M155" s="164"/>
      <c r="N155" s="164"/>
      <c r="O155" s="164"/>
      <c r="P155" s="164">
        <f t="shared" si="22"/>
        <v>141</v>
      </c>
      <c r="Q155" s="164">
        <f t="shared" si="23"/>
        <v>111</v>
      </c>
      <c r="R155" s="164">
        <f t="shared" si="24"/>
        <v>252</v>
      </c>
    </row>
    <row r="156" spans="2:18" ht="15.6" x14ac:dyDescent="0.3">
      <c r="B156" s="182"/>
      <c r="C156" s="164" t="s">
        <v>120</v>
      </c>
      <c r="D156" s="164"/>
      <c r="E156" s="164"/>
      <c r="F156" s="164"/>
      <c r="G156" s="164"/>
      <c r="H156" s="164">
        <f>G113</f>
        <v>31</v>
      </c>
      <c r="I156" s="164">
        <f t="shared" ref="I156:O156" si="31">H113</f>
        <v>23</v>
      </c>
      <c r="J156" s="164">
        <f t="shared" si="31"/>
        <v>43</v>
      </c>
      <c r="K156" s="164">
        <f t="shared" si="31"/>
        <v>8</v>
      </c>
      <c r="L156" s="164">
        <f t="shared" si="31"/>
        <v>16</v>
      </c>
      <c r="M156" s="164">
        <f t="shared" si="31"/>
        <v>11</v>
      </c>
      <c r="N156" s="164">
        <f t="shared" si="31"/>
        <v>19</v>
      </c>
      <c r="O156" s="164">
        <f t="shared" si="31"/>
        <v>8</v>
      </c>
      <c r="P156" s="164">
        <f t="shared" si="22"/>
        <v>109</v>
      </c>
      <c r="Q156" s="164">
        <f t="shared" si="23"/>
        <v>50</v>
      </c>
      <c r="R156" s="164">
        <f t="shared" si="24"/>
        <v>159</v>
      </c>
    </row>
    <row r="157" spans="2:18" ht="15.6" x14ac:dyDescent="0.3">
      <c r="B157" s="182"/>
      <c r="C157" s="164" t="s">
        <v>121</v>
      </c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>
        <f t="shared" si="22"/>
        <v>0</v>
      </c>
      <c r="Q157" s="164">
        <f t="shared" si="23"/>
        <v>0</v>
      </c>
      <c r="R157" s="164">
        <f t="shared" si="24"/>
        <v>0</v>
      </c>
    </row>
    <row r="158" spans="2:18" ht="15.6" x14ac:dyDescent="0.3">
      <c r="B158" s="182"/>
      <c r="C158" s="164" t="s">
        <v>122</v>
      </c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>
        <f t="shared" si="22"/>
        <v>0</v>
      </c>
      <c r="Q158" s="164">
        <f t="shared" si="23"/>
        <v>0</v>
      </c>
      <c r="R158" s="164">
        <f t="shared" si="24"/>
        <v>0</v>
      </c>
    </row>
    <row r="159" spans="2:18" ht="15.6" x14ac:dyDescent="0.3">
      <c r="B159" s="183"/>
      <c r="C159" s="164" t="s">
        <v>123</v>
      </c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>
        <f t="shared" si="22"/>
        <v>0</v>
      </c>
      <c r="Q159" s="164">
        <f t="shared" si="23"/>
        <v>0</v>
      </c>
      <c r="R159" s="164">
        <f t="shared" si="24"/>
        <v>0</v>
      </c>
    </row>
    <row r="160" spans="2:18" ht="15.6" x14ac:dyDescent="0.3">
      <c r="B160" s="181" t="s">
        <v>128</v>
      </c>
      <c r="C160" s="164" t="s">
        <v>119</v>
      </c>
      <c r="D160" s="164">
        <f>C111+C112</f>
        <v>26</v>
      </c>
      <c r="E160" s="164">
        <f t="shared" ref="E160:G160" si="32">D111+D112</f>
        <v>20</v>
      </c>
      <c r="F160" s="164">
        <f t="shared" si="32"/>
        <v>15</v>
      </c>
      <c r="G160" s="164">
        <f t="shared" si="32"/>
        <v>8</v>
      </c>
      <c r="H160" s="164"/>
      <c r="I160" s="164"/>
      <c r="J160" s="164"/>
      <c r="K160" s="164"/>
      <c r="L160" s="164"/>
      <c r="M160" s="164"/>
      <c r="N160" s="164"/>
      <c r="O160" s="164"/>
      <c r="P160" s="164">
        <f t="shared" si="22"/>
        <v>41</v>
      </c>
      <c r="Q160" s="164">
        <f t="shared" si="23"/>
        <v>28</v>
      </c>
      <c r="R160" s="164">
        <f t="shared" si="24"/>
        <v>69</v>
      </c>
    </row>
    <row r="161" spans="1:23" ht="15.6" x14ac:dyDescent="0.3">
      <c r="B161" s="182"/>
      <c r="C161" s="164" t="s">
        <v>120</v>
      </c>
      <c r="D161" s="164"/>
      <c r="E161" s="164"/>
      <c r="F161" s="164"/>
      <c r="G161" s="164"/>
      <c r="H161" s="164">
        <f>G111+G112</f>
        <v>11</v>
      </c>
      <c r="I161" s="164">
        <f t="shared" ref="I161:O161" si="33">H111+H112</f>
        <v>4</v>
      </c>
      <c r="J161" s="164">
        <f t="shared" si="33"/>
        <v>5</v>
      </c>
      <c r="K161" s="164">
        <f t="shared" si="33"/>
        <v>0</v>
      </c>
      <c r="L161" s="164">
        <f t="shared" si="33"/>
        <v>0</v>
      </c>
      <c r="M161" s="164">
        <f t="shared" si="33"/>
        <v>0</v>
      </c>
      <c r="N161" s="164">
        <f t="shared" si="33"/>
        <v>0</v>
      </c>
      <c r="O161" s="164">
        <f t="shared" si="33"/>
        <v>0</v>
      </c>
      <c r="P161" s="164">
        <f t="shared" si="22"/>
        <v>16</v>
      </c>
      <c r="Q161" s="164">
        <f t="shared" si="23"/>
        <v>4</v>
      </c>
      <c r="R161" s="164">
        <f t="shared" si="24"/>
        <v>20</v>
      </c>
    </row>
    <row r="162" spans="1:23" ht="15.6" x14ac:dyDescent="0.3">
      <c r="B162" s="182"/>
      <c r="C162" s="164" t="s">
        <v>121</v>
      </c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>
        <f t="shared" si="22"/>
        <v>0</v>
      </c>
      <c r="Q162" s="164">
        <f t="shared" si="23"/>
        <v>0</v>
      </c>
      <c r="R162" s="164">
        <f t="shared" si="24"/>
        <v>0</v>
      </c>
    </row>
    <row r="163" spans="1:23" ht="15.6" x14ac:dyDescent="0.3">
      <c r="B163" s="182"/>
      <c r="C163" s="164" t="s">
        <v>122</v>
      </c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>
        <f t="shared" si="22"/>
        <v>0</v>
      </c>
      <c r="Q163" s="164">
        <f t="shared" si="23"/>
        <v>0</v>
      </c>
      <c r="R163" s="164">
        <f t="shared" si="24"/>
        <v>0</v>
      </c>
    </row>
    <row r="164" spans="1:23" ht="15.6" x14ac:dyDescent="0.3">
      <c r="B164" s="183"/>
      <c r="C164" s="164" t="s">
        <v>123</v>
      </c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>
        <f t="shared" si="22"/>
        <v>0</v>
      </c>
      <c r="Q164" s="164">
        <f t="shared" si="23"/>
        <v>0</v>
      </c>
      <c r="R164" s="164">
        <f t="shared" si="24"/>
        <v>0</v>
      </c>
    </row>
    <row r="165" spans="1:23" ht="15.6" x14ac:dyDescent="0.3">
      <c r="B165" s="181" t="s">
        <v>10</v>
      </c>
      <c r="C165" s="164" t="s">
        <v>119</v>
      </c>
      <c r="D165" s="164">
        <f>D160+D155+D150+D145+D140+D135+D130+D125+D120</f>
        <v>2564</v>
      </c>
      <c r="E165" s="164">
        <f t="shared" ref="E165:R165" si="34">E160+E155+E150+E145+E140+E135+E130+E125+E120</f>
        <v>1828</v>
      </c>
      <c r="F165" s="164">
        <f t="shared" si="34"/>
        <v>1945</v>
      </c>
      <c r="G165" s="164">
        <f t="shared" si="34"/>
        <v>1283</v>
      </c>
      <c r="H165" s="164">
        <f t="shared" si="34"/>
        <v>0</v>
      </c>
      <c r="I165" s="164">
        <f t="shared" si="34"/>
        <v>0</v>
      </c>
      <c r="J165" s="164">
        <f t="shared" si="34"/>
        <v>0</v>
      </c>
      <c r="K165" s="164">
        <f t="shared" si="34"/>
        <v>0</v>
      </c>
      <c r="L165" s="164">
        <f t="shared" si="34"/>
        <v>0</v>
      </c>
      <c r="M165" s="164">
        <f t="shared" si="34"/>
        <v>0</v>
      </c>
      <c r="N165" s="164">
        <f t="shared" si="34"/>
        <v>0</v>
      </c>
      <c r="O165" s="164">
        <f t="shared" si="34"/>
        <v>0</v>
      </c>
      <c r="P165" s="164">
        <f t="shared" si="34"/>
        <v>4509</v>
      </c>
      <c r="Q165" s="164">
        <f t="shared" si="34"/>
        <v>3111</v>
      </c>
      <c r="R165" s="164">
        <f t="shared" si="34"/>
        <v>7620</v>
      </c>
    </row>
    <row r="166" spans="1:23" ht="15.6" x14ac:dyDescent="0.3">
      <c r="B166" s="182"/>
      <c r="C166" s="164" t="s">
        <v>120</v>
      </c>
      <c r="D166" s="164">
        <f t="shared" ref="D166:R169" si="35">D161+D156+D151+D146+D141+D136+D131+D126+D121</f>
        <v>0</v>
      </c>
      <c r="E166" s="164">
        <f t="shared" si="35"/>
        <v>0</v>
      </c>
      <c r="F166" s="164">
        <f t="shared" si="35"/>
        <v>0</v>
      </c>
      <c r="G166" s="164">
        <f t="shared" si="35"/>
        <v>0</v>
      </c>
      <c r="H166" s="164">
        <f t="shared" si="35"/>
        <v>1346</v>
      </c>
      <c r="I166" s="164">
        <f t="shared" si="35"/>
        <v>867</v>
      </c>
      <c r="J166" s="164">
        <f t="shared" si="35"/>
        <v>1092</v>
      </c>
      <c r="K166" s="164">
        <f t="shared" si="35"/>
        <v>598</v>
      </c>
      <c r="L166" s="164">
        <f t="shared" si="35"/>
        <v>884</v>
      </c>
      <c r="M166" s="164">
        <f t="shared" si="35"/>
        <v>433</v>
      </c>
      <c r="N166" s="164">
        <f t="shared" si="35"/>
        <v>753</v>
      </c>
      <c r="O166" s="164">
        <f t="shared" si="35"/>
        <v>409</v>
      </c>
      <c r="P166" s="164">
        <f t="shared" si="35"/>
        <v>4075</v>
      </c>
      <c r="Q166" s="164">
        <f t="shared" si="35"/>
        <v>2307</v>
      </c>
      <c r="R166" s="164">
        <f t="shared" si="35"/>
        <v>6382</v>
      </c>
    </row>
    <row r="167" spans="1:23" ht="15.6" x14ac:dyDescent="0.3">
      <c r="B167" s="182"/>
      <c r="C167" s="164" t="s">
        <v>121</v>
      </c>
      <c r="D167" s="164">
        <f t="shared" si="35"/>
        <v>0</v>
      </c>
      <c r="E167" s="164">
        <f t="shared" si="35"/>
        <v>0</v>
      </c>
      <c r="F167" s="164">
        <f t="shared" si="35"/>
        <v>0</v>
      </c>
      <c r="G167" s="164">
        <f t="shared" si="35"/>
        <v>0</v>
      </c>
      <c r="H167" s="164">
        <f t="shared" si="35"/>
        <v>196</v>
      </c>
      <c r="I167" s="164">
        <f t="shared" si="35"/>
        <v>14</v>
      </c>
      <c r="J167" s="164">
        <f t="shared" si="35"/>
        <v>134</v>
      </c>
      <c r="K167" s="164">
        <f t="shared" si="35"/>
        <v>10</v>
      </c>
      <c r="L167" s="164">
        <f t="shared" si="35"/>
        <v>97</v>
      </c>
      <c r="M167" s="164">
        <f t="shared" si="35"/>
        <v>13</v>
      </c>
      <c r="N167" s="164">
        <f t="shared" si="35"/>
        <v>107</v>
      </c>
      <c r="O167" s="164">
        <f t="shared" si="35"/>
        <v>9</v>
      </c>
      <c r="P167" s="164">
        <f t="shared" si="35"/>
        <v>534</v>
      </c>
      <c r="Q167" s="164">
        <f t="shared" si="35"/>
        <v>46</v>
      </c>
      <c r="R167" s="164">
        <f t="shared" si="35"/>
        <v>580</v>
      </c>
    </row>
    <row r="168" spans="1:23" ht="15.6" x14ac:dyDescent="0.3">
      <c r="B168" s="182"/>
      <c r="C168" s="164" t="s">
        <v>122</v>
      </c>
      <c r="D168" s="164">
        <f t="shared" si="35"/>
        <v>0</v>
      </c>
      <c r="E168" s="164">
        <f t="shared" si="35"/>
        <v>0</v>
      </c>
      <c r="F168" s="164">
        <f t="shared" si="35"/>
        <v>0</v>
      </c>
      <c r="G168" s="164">
        <f t="shared" si="35"/>
        <v>0</v>
      </c>
      <c r="H168" s="164">
        <f t="shared" si="35"/>
        <v>16</v>
      </c>
      <c r="I168" s="164">
        <f t="shared" si="35"/>
        <v>2</v>
      </c>
      <c r="J168" s="164">
        <f t="shared" si="35"/>
        <v>20</v>
      </c>
      <c r="K168" s="164">
        <f t="shared" si="35"/>
        <v>8</v>
      </c>
      <c r="L168" s="164">
        <f t="shared" si="35"/>
        <v>0</v>
      </c>
      <c r="M168" s="164">
        <f t="shared" si="35"/>
        <v>0</v>
      </c>
      <c r="N168" s="164">
        <f t="shared" si="35"/>
        <v>0</v>
      </c>
      <c r="O168" s="164">
        <f t="shared" si="35"/>
        <v>0</v>
      </c>
      <c r="P168" s="164">
        <f t="shared" si="35"/>
        <v>36</v>
      </c>
      <c r="Q168" s="164">
        <f t="shared" si="35"/>
        <v>10</v>
      </c>
      <c r="R168" s="164">
        <f t="shared" si="35"/>
        <v>46</v>
      </c>
    </row>
    <row r="169" spans="1:23" ht="15.6" x14ac:dyDescent="0.3">
      <c r="A169" s="1"/>
      <c r="B169" s="183"/>
      <c r="C169" s="164" t="s">
        <v>123</v>
      </c>
      <c r="D169" s="164">
        <f t="shared" si="35"/>
        <v>0</v>
      </c>
      <c r="E169" s="164">
        <f t="shared" si="35"/>
        <v>0</v>
      </c>
      <c r="F169" s="164">
        <f t="shared" si="35"/>
        <v>0</v>
      </c>
      <c r="G169" s="164">
        <f t="shared" si="35"/>
        <v>0</v>
      </c>
      <c r="H169" s="164">
        <f t="shared" si="35"/>
        <v>0</v>
      </c>
      <c r="I169" s="164">
        <f t="shared" si="35"/>
        <v>0</v>
      </c>
      <c r="J169" s="164">
        <f t="shared" si="35"/>
        <v>0</v>
      </c>
      <c r="K169" s="164">
        <f t="shared" si="35"/>
        <v>0</v>
      </c>
      <c r="L169" s="164">
        <f t="shared" si="35"/>
        <v>0</v>
      </c>
      <c r="M169" s="164">
        <f t="shared" si="35"/>
        <v>0</v>
      </c>
      <c r="N169" s="164">
        <f t="shared" si="35"/>
        <v>0</v>
      </c>
      <c r="O169" s="164">
        <f t="shared" si="35"/>
        <v>0</v>
      </c>
      <c r="P169" s="164">
        <f t="shared" si="35"/>
        <v>0</v>
      </c>
      <c r="Q169" s="164">
        <f t="shared" si="35"/>
        <v>0</v>
      </c>
      <c r="R169" s="164">
        <f t="shared" si="35"/>
        <v>0</v>
      </c>
    </row>
    <row r="170" spans="1:23" x14ac:dyDescent="0.3">
      <c r="A170" s="1"/>
    </row>
    <row r="171" spans="1:23" x14ac:dyDescent="0.3">
      <c r="A171" s="1" t="s">
        <v>38</v>
      </c>
    </row>
    <row r="172" spans="1:23" x14ac:dyDescent="0.3">
      <c r="A172" s="1"/>
    </row>
    <row r="173" spans="1:23" ht="43.2" x14ac:dyDescent="0.3">
      <c r="A173" s="40" t="s">
        <v>6</v>
      </c>
      <c r="B173" s="40" t="s">
        <v>18</v>
      </c>
      <c r="C173" s="214" t="s">
        <v>55</v>
      </c>
      <c r="D173" s="215"/>
      <c r="E173" s="188" t="s">
        <v>56</v>
      </c>
      <c r="F173" s="188"/>
      <c r="G173" s="188" t="s">
        <v>57</v>
      </c>
      <c r="H173" s="188"/>
      <c r="I173" s="188" t="s">
        <v>58</v>
      </c>
      <c r="J173" s="188"/>
      <c r="K173" s="188" t="s">
        <v>59</v>
      </c>
      <c r="L173" s="188"/>
      <c r="M173" s="188" t="s">
        <v>60</v>
      </c>
      <c r="N173" s="188"/>
      <c r="O173" s="188" t="s">
        <v>61</v>
      </c>
      <c r="P173" s="188"/>
      <c r="Q173" s="188" t="s">
        <v>10</v>
      </c>
      <c r="R173" s="188"/>
      <c r="S173" s="188"/>
      <c r="T173" s="123"/>
      <c r="U173" s="123"/>
    </row>
    <row r="174" spans="1:23" x14ac:dyDescent="0.3">
      <c r="A174" s="42"/>
      <c r="B174" s="42"/>
      <c r="C174" s="125" t="s">
        <v>43</v>
      </c>
      <c r="D174" s="125" t="s">
        <v>30</v>
      </c>
      <c r="E174" s="125" t="s">
        <v>43</v>
      </c>
      <c r="F174" s="125" t="s">
        <v>30</v>
      </c>
      <c r="G174" s="125" t="s">
        <v>43</v>
      </c>
      <c r="H174" s="125" t="s">
        <v>30</v>
      </c>
      <c r="I174" s="125" t="s">
        <v>43</v>
      </c>
      <c r="J174" s="125" t="s">
        <v>30</v>
      </c>
      <c r="K174" s="125" t="s">
        <v>43</v>
      </c>
      <c r="L174" s="125" t="s">
        <v>30</v>
      </c>
      <c r="M174" s="125" t="s">
        <v>43</v>
      </c>
      <c r="N174" s="125" t="s">
        <v>30</v>
      </c>
      <c r="O174" s="125" t="s">
        <v>43</v>
      </c>
      <c r="P174" s="125" t="s">
        <v>30</v>
      </c>
      <c r="Q174" s="125" t="s">
        <v>43</v>
      </c>
      <c r="R174" s="125" t="s">
        <v>30</v>
      </c>
      <c r="S174" s="125" t="s">
        <v>67</v>
      </c>
      <c r="T174" s="24"/>
      <c r="U174" s="28"/>
    </row>
    <row r="175" spans="1:23" ht="15.6" x14ac:dyDescent="0.3">
      <c r="A175" s="18">
        <v>1</v>
      </c>
      <c r="B175" s="36" t="s">
        <v>44</v>
      </c>
      <c r="C175" s="18">
        <v>15</v>
      </c>
      <c r="D175" s="18">
        <v>0</v>
      </c>
      <c r="E175" s="18">
        <v>2</v>
      </c>
      <c r="F175" s="18">
        <v>0</v>
      </c>
      <c r="G175" s="18">
        <v>0</v>
      </c>
      <c r="H175" s="18">
        <v>0</v>
      </c>
      <c r="I175" s="18">
        <v>4</v>
      </c>
      <c r="J175" s="18">
        <v>0</v>
      </c>
      <c r="K175" s="18">
        <v>0</v>
      </c>
      <c r="L175" s="18">
        <v>0</v>
      </c>
      <c r="M175" s="18">
        <v>0</v>
      </c>
      <c r="N175" s="18">
        <v>0</v>
      </c>
      <c r="O175" s="18">
        <v>103</v>
      </c>
      <c r="P175" s="18">
        <v>3</v>
      </c>
      <c r="Q175" s="18">
        <f>O175+M175+K175+I175+G175+E175+C175</f>
        <v>124</v>
      </c>
      <c r="R175" s="18">
        <f>P175+N175+L175+J175+H175+F175+D175</f>
        <v>3</v>
      </c>
      <c r="S175" s="18">
        <f>SUM(Q175:R175)</f>
        <v>127</v>
      </c>
      <c r="T175" s="24"/>
      <c r="U175" s="28"/>
      <c r="V175" s="162"/>
      <c r="W175" s="162"/>
    </row>
    <row r="176" spans="1:23" ht="15.6" x14ac:dyDescent="0.3">
      <c r="A176" s="18">
        <v>2</v>
      </c>
      <c r="B176" s="36" t="s">
        <v>45</v>
      </c>
      <c r="C176" s="18">
        <v>50</v>
      </c>
      <c r="D176" s="18">
        <v>7</v>
      </c>
      <c r="E176" s="18">
        <v>6</v>
      </c>
      <c r="F176" s="18">
        <v>2</v>
      </c>
      <c r="G176" s="18">
        <v>0</v>
      </c>
      <c r="H176" s="18">
        <v>0</v>
      </c>
      <c r="I176" s="18">
        <v>17</v>
      </c>
      <c r="J176" s="18">
        <v>4</v>
      </c>
      <c r="K176" s="18">
        <v>2</v>
      </c>
      <c r="L176" s="18">
        <v>1</v>
      </c>
      <c r="M176" s="18">
        <v>0</v>
      </c>
      <c r="N176" s="18">
        <v>0</v>
      </c>
      <c r="O176" s="18">
        <v>321</v>
      </c>
      <c r="P176" s="18">
        <v>44</v>
      </c>
      <c r="Q176" s="18">
        <f t="shared" ref="Q176:Q181" si="36">O176+M176+K176+I176+G176+E176+C176</f>
        <v>396</v>
      </c>
      <c r="R176" s="18">
        <f t="shared" ref="R176:R181" si="37">P176+N176+L176+J176+H176+F176+D176</f>
        <v>58</v>
      </c>
      <c r="S176" s="18">
        <f t="shared" ref="S176:S181" si="38">SUM(Q176:R176)</f>
        <v>454</v>
      </c>
      <c r="T176" s="24"/>
      <c r="U176" s="28"/>
      <c r="V176" s="162"/>
      <c r="W176" s="162"/>
    </row>
    <row r="177" spans="1:23" ht="15.6" x14ac:dyDescent="0.3">
      <c r="A177" s="18">
        <v>3</v>
      </c>
      <c r="B177" s="36" t="s">
        <v>46</v>
      </c>
      <c r="C177" s="18">
        <v>45</v>
      </c>
      <c r="D177" s="18">
        <v>3</v>
      </c>
      <c r="E177" s="18">
        <v>1</v>
      </c>
      <c r="F177" s="18">
        <v>0</v>
      </c>
      <c r="G177" s="18">
        <v>0</v>
      </c>
      <c r="H177" s="18">
        <v>0</v>
      </c>
      <c r="I177" s="18">
        <v>15</v>
      </c>
      <c r="J177" s="18">
        <v>2</v>
      </c>
      <c r="K177" s="18">
        <v>2</v>
      </c>
      <c r="L177" s="18">
        <v>0</v>
      </c>
      <c r="M177" s="18">
        <v>0</v>
      </c>
      <c r="N177" s="18">
        <v>0</v>
      </c>
      <c r="O177" s="18">
        <v>408</v>
      </c>
      <c r="P177" s="18">
        <v>21</v>
      </c>
      <c r="Q177" s="18">
        <f t="shared" si="36"/>
        <v>471</v>
      </c>
      <c r="R177" s="18">
        <f t="shared" si="37"/>
        <v>26</v>
      </c>
      <c r="S177" s="18">
        <f t="shared" si="38"/>
        <v>497</v>
      </c>
      <c r="T177" s="24"/>
      <c r="U177" s="28"/>
      <c r="V177" s="162"/>
      <c r="W177" s="162"/>
    </row>
    <row r="178" spans="1:23" ht="15.6" x14ac:dyDescent="0.3">
      <c r="A178" s="18">
        <v>4</v>
      </c>
      <c r="B178" s="36" t="s">
        <v>47</v>
      </c>
      <c r="C178" s="18">
        <v>0</v>
      </c>
      <c r="D178" s="18">
        <v>0</v>
      </c>
      <c r="E178" s="18">
        <v>0</v>
      </c>
      <c r="F178" s="18">
        <v>0</v>
      </c>
      <c r="G178" s="18">
        <v>0</v>
      </c>
      <c r="H178" s="18">
        <v>0</v>
      </c>
      <c r="I178" s="18">
        <v>0</v>
      </c>
      <c r="J178" s="18">
        <v>0</v>
      </c>
      <c r="K178" s="18">
        <v>0</v>
      </c>
      <c r="L178" s="18">
        <v>0</v>
      </c>
      <c r="M178" s="18">
        <v>0</v>
      </c>
      <c r="N178" s="18">
        <v>0</v>
      </c>
      <c r="O178" s="18"/>
      <c r="P178" s="18"/>
      <c r="Q178" s="18">
        <f t="shared" si="36"/>
        <v>0</v>
      </c>
      <c r="R178" s="18">
        <f t="shared" si="37"/>
        <v>0</v>
      </c>
      <c r="S178" s="18">
        <f t="shared" si="38"/>
        <v>0</v>
      </c>
      <c r="T178" s="24"/>
      <c r="U178" s="28"/>
      <c r="V178" s="162"/>
      <c r="W178" s="162"/>
    </row>
    <row r="179" spans="1:23" ht="15.6" x14ac:dyDescent="0.3">
      <c r="A179" s="18">
        <v>5</v>
      </c>
      <c r="B179" s="36" t="s">
        <v>48</v>
      </c>
      <c r="C179" s="18">
        <v>0</v>
      </c>
      <c r="D179" s="18">
        <v>0</v>
      </c>
      <c r="E179" s="18">
        <v>0</v>
      </c>
      <c r="F179" s="18">
        <v>0</v>
      </c>
      <c r="G179" s="18">
        <v>0</v>
      </c>
      <c r="H179" s="18">
        <v>0</v>
      </c>
      <c r="I179" s="18">
        <v>0</v>
      </c>
      <c r="J179" s="18">
        <v>0</v>
      </c>
      <c r="K179" s="18">
        <v>0</v>
      </c>
      <c r="L179" s="18">
        <v>0</v>
      </c>
      <c r="M179" s="18">
        <v>0</v>
      </c>
      <c r="N179" s="18">
        <v>0</v>
      </c>
      <c r="O179" s="18"/>
      <c r="P179" s="18"/>
      <c r="Q179" s="18">
        <f t="shared" si="36"/>
        <v>0</v>
      </c>
      <c r="R179" s="18">
        <f t="shared" si="37"/>
        <v>0</v>
      </c>
      <c r="S179" s="18">
        <f t="shared" si="38"/>
        <v>0</v>
      </c>
      <c r="T179" s="24"/>
      <c r="U179" s="28"/>
      <c r="V179" s="162"/>
      <c r="W179" s="162"/>
    </row>
    <row r="180" spans="1:23" ht="15.6" x14ac:dyDescent="0.3">
      <c r="A180" s="18">
        <v>6</v>
      </c>
      <c r="B180" s="36" t="s">
        <v>49</v>
      </c>
      <c r="C180" s="18">
        <v>0</v>
      </c>
      <c r="D180" s="18">
        <v>0</v>
      </c>
      <c r="E180" s="18">
        <v>0</v>
      </c>
      <c r="F180" s="18">
        <v>0</v>
      </c>
      <c r="G180" s="18">
        <v>0</v>
      </c>
      <c r="H180" s="18">
        <v>0</v>
      </c>
      <c r="I180" s="18">
        <v>0</v>
      </c>
      <c r="J180" s="18">
        <v>0</v>
      </c>
      <c r="K180" s="18">
        <v>0</v>
      </c>
      <c r="L180" s="18">
        <v>0</v>
      </c>
      <c r="M180" s="18">
        <v>0</v>
      </c>
      <c r="N180" s="18">
        <v>0</v>
      </c>
      <c r="O180" s="18">
        <v>8</v>
      </c>
      <c r="P180" s="18">
        <v>2</v>
      </c>
      <c r="Q180" s="18">
        <f t="shared" si="36"/>
        <v>8</v>
      </c>
      <c r="R180" s="18">
        <f t="shared" si="37"/>
        <v>2</v>
      </c>
      <c r="S180" s="18">
        <f t="shared" si="38"/>
        <v>10</v>
      </c>
      <c r="T180" s="24"/>
      <c r="U180" s="28"/>
      <c r="V180" s="162"/>
      <c r="W180" s="162"/>
    </row>
    <row r="181" spans="1:23" ht="15.6" x14ac:dyDescent="0.3">
      <c r="A181" s="18">
        <v>7</v>
      </c>
      <c r="B181" s="36" t="s">
        <v>50</v>
      </c>
      <c r="C181" s="18">
        <v>6</v>
      </c>
      <c r="D181" s="18">
        <v>2</v>
      </c>
      <c r="E181" s="18">
        <v>0</v>
      </c>
      <c r="F181" s="18">
        <v>0</v>
      </c>
      <c r="G181" s="18">
        <v>0</v>
      </c>
      <c r="H181" s="18">
        <v>0</v>
      </c>
      <c r="I181" s="18">
        <v>4</v>
      </c>
      <c r="J181" s="18">
        <v>0</v>
      </c>
      <c r="K181" s="18">
        <v>0</v>
      </c>
      <c r="L181" s="18">
        <v>0</v>
      </c>
      <c r="M181" s="18">
        <v>0</v>
      </c>
      <c r="N181" s="18">
        <v>0</v>
      </c>
      <c r="O181" s="18">
        <v>26</v>
      </c>
      <c r="P181" s="18">
        <v>2</v>
      </c>
      <c r="Q181" s="18">
        <f t="shared" si="36"/>
        <v>36</v>
      </c>
      <c r="R181" s="18">
        <f t="shared" si="37"/>
        <v>4</v>
      </c>
      <c r="S181" s="18">
        <f t="shared" si="38"/>
        <v>40</v>
      </c>
      <c r="T181" s="24"/>
      <c r="U181" s="28"/>
      <c r="V181" s="162"/>
      <c r="W181" s="162"/>
    </row>
    <row r="182" spans="1:23" ht="15.6" x14ac:dyDescent="0.3">
      <c r="A182" s="209" t="s">
        <v>10</v>
      </c>
      <c r="B182" s="209"/>
      <c r="C182" s="126">
        <f>SUM(C175:C181)</f>
        <v>116</v>
      </c>
      <c r="D182" s="126">
        <f t="shared" ref="D182:R182" si="39">SUM(D175:D181)</f>
        <v>12</v>
      </c>
      <c r="E182" s="126">
        <f t="shared" si="39"/>
        <v>9</v>
      </c>
      <c r="F182" s="126">
        <f t="shared" si="39"/>
        <v>2</v>
      </c>
      <c r="G182" s="126">
        <f t="shared" si="39"/>
        <v>0</v>
      </c>
      <c r="H182" s="126">
        <f t="shared" si="39"/>
        <v>0</v>
      </c>
      <c r="I182" s="126">
        <f t="shared" si="39"/>
        <v>40</v>
      </c>
      <c r="J182" s="126">
        <f t="shared" si="39"/>
        <v>6</v>
      </c>
      <c r="K182" s="126">
        <f t="shared" si="39"/>
        <v>4</v>
      </c>
      <c r="L182" s="126">
        <f t="shared" si="39"/>
        <v>1</v>
      </c>
      <c r="M182" s="126">
        <f t="shared" si="39"/>
        <v>0</v>
      </c>
      <c r="N182" s="126">
        <f t="shared" si="39"/>
        <v>0</v>
      </c>
      <c r="O182" s="126">
        <f t="shared" si="39"/>
        <v>866</v>
      </c>
      <c r="P182" s="126">
        <f t="shared" si="39"/>
        <v>72</v>
      </c>
      <c r="Q182" s="126">
        <f>SUM(Q175:Q181)</f>
        <v>1035</v>
      </c>
      <c r="R182" s="126">
        <f t="shared" si="39"/>
        <v>93</v>
      </c>
      <c r="S182" s="126">
        <f>SUM(S175:S181)</f>
        <v>1128</v>
      </c>
      <c r="T182" s="124"/>
      <c r="U182" s="124"/>
      <c r="V182" s="162"/>
      <c r="W182" s="162"/>
    </row>
    <row r="183" spans="1:23" ht="15.6" x14ac:dyDescent="0.3">
      <c r="V183" s="162"/>
      <c r="W183" s="162"/>
    </row>
  </sheetData>
  <mergeCells count="80">
    <mergeCell ref="A76:B76"/>
    <mergeCell ref="A52:B52"/>
    <mergeCell ref="A40:B40"/>
    <mergeCell ref="C43:D43"/>
    <mergeCell ref="M43:O43"/>
    <mergeCell ref="A64:B64"/>
    <mergeCell ref="C67:D67"/>
    <mergeCell ref="K67:L67"/>
    <mergeCell ref="C65:D65"/>
    <mergeCell ref="E65:F65"/>
    <mergeCell ref="G65:H65"/>
    <mergeCell ref="O67:Q67"/>
    <mergeCell ref="F7:F8"/>
    <mergeCell ref="A16:B16"/>
    <mergeCell ref="A28:B28"/>
    <mergeCell ref="A7:A8"/>
    <mergeCell ref="C7:C8"/>
    <mergeCell ref="D7:D8"/>
    <mergeCell ref="E7:E8"/>
    <mergeCell ref="A182:B182"/>
    <mergeCell ref="C79:D79"/>
    <mergeCell ref="G79:H79"/>
    <mergeCell ref="E79:F79"/>
    <mergeCell ref="I79:J79"/>
    <mergeCell ref="A114:B114"/>
    <mergeCell ref="A101:B101"/>
    <mergeCell ref="I105:J105"/>
    <mergeCell ref="A88:B88"/>
    <mergeCell ref="C173:D173"/>
    <mergeCell ref="C105:D105"/>
    <mergeCell ref="B120:B124"/>
    <mergeCell ref="B125:B129"/>
    <mergeCell ref="B130:B134"/>
    <mergeCell ref="B135:B139"/>
    <mergeCell ref="B140:B144"/>
    <mergeCell ref="C31:D31"/>
    <mergeCell ref="E67:F67"/>
    <mergeCell ref="G67:H67"/>
    <mergeCell ref="I67:J67"/>
    <mergeCell ref="M173:N173"/>
    <mergeCell ref="M65:N65"/>
    <mergeCell ref="I31:K31"/>
    <mergeCell ref="E43:F43"/>
    <mergeCell ref="G43:H43"/>
    <mergeCell ref="I43:J43"/>
    <mergeCell ref="K43:L43"/>
    <mergeCell ref="E31:F31"/>
    <mergeCell ref="G31:H31"/>
    <mergeCell ref="E173:F173"/>
    <mergeCell ref="G173:H173"/>
    <mergeCell ref="I173:J173"/>
    <mergeCell ref="CQ79:CQ80"/>
    <mergeCell ref="G105:H105"/>
    <mergeCell ref="E105:F105"/>
    <mergeCell ref="K105:L105"/>
    <mergeCell ref="M105:N105"/>
    <mergeCell ref="O105:Q105"/>
    <mergeCell ref="K173:L173"/>
    <mergeCell ref="O173:P173"/>
    <mergeCell ref="Q173:S173"/>
    <mergeCell ref="K65:L65"/>
    <mergeCell ref="I65:J65"/>
    <mergeCell ref="M67:N67"/>
    <mergeCell ref="K79:M79"/>
    <mergeCell ref="B115:R115"/>
    <mergeCell ref="B116:B119"/>
    <mergeCell ref="C116:C119"/>
    <mergeCell ref="D116:R116"/>
    <mergeCell ref="D117:E118"/>
    <mergeCell ref="F117:G118"/>
    <mergeCell ref="H117:I118"/>
    <mergeCell ref="J117:K118"/>
    <mergeCell ref="L117:M118"/>
    <mergeCell ref="B160:B164"/>
    <mergeCell ref="B165:B169"/>
    <mergeCell ref="N117:O118"/>
    <mergeCell ref="P117:R118"/>
    <mergeCell ref="B145:B149"/>
    <mergeCell ref="B150:B154"/>
    <mergeCell ref="B155:B15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68D0B-B294-4E69-85AD-BC95C607CB87}">
  <dimension ref="A1:BE181"/>
  <sheetViews>
    <sheetView topLeftCell="A156" zoomScale="80" zoomScaleNormal="80" workbookViewId="0">
      <selection activeCell="Q174" sqref="Q174:S181"/>
    </sheetView>
  </sheetViews>
  <sheetFormatPr baseColWidth="10" defaultRowHeight="14.4" x14ac:dyDescent="0.3"/>
  <cols>
    <col min="2" max="2" width="15.109375" customWidth="1"/>
    <col min="3" max="3" width="13.88671875" customWidth="1"/>
    <col min="4" max="4" width="13.109375" customWidth="1"/>
    <col min="5" max="5" width="14.33203125" customWidth="1"/>
  </cols>
  <sheetData>
    <row r="1" spans="1:6" x14ac:dyDescent="0.3">
      <c r="A1" s="1" t="s">
        <v>0</v>
      </c>
    </row>
    <row r="2" spans="1:6" x14ac:dyDescent="0.3">
      <c r="A2" s="1" t="s">
        <v>1</v>
      </c>
    </row>
    <row r="3" spans="1:6" x14ac:dyDescent="0.3">
      <c r="A3" s="1" t="s">
        <v>2</v>
      </c>
      <c r="D3" t="s">
        <v>87</v>
      </c>
    </row>
    <row r="4" spans="1:6" x14ac:dyDescent="0.3">
      <c r="A4" s="1" t="s">
        <v>3</v>
      </c>
      <c r="D4" t="s">
        <v>76</v>
      </c>
    </row>
    <row r="5" spans="1:6" x14ac:dyDescent="0.3">
      <c r="A5" s="1" t="s">
        <v>4</v>
      </c>
      <c r="D5" t="s">
        <v>77</v>
      </c>
    </row>
    <row r="6" spans="1:6" ht="26.4" customHeight="1" thickBot="1" x14ac:dyDescent="0.35">
      <c r="A6" s="112" t="s">
        <v>5</v>
      </c>
    </row>
    <row r="7" spans="1:6" ht="57.6" x14ac:dyDescent="0.3">
      <c r="A7" s="57" t="s">
        <v>6</v>
      </c>
      <c r="B7" s="58" t="s">
        <v>18</v>
      </c>
      <c r="C7" s="57" t="s">
        <v>7</v>
      </c>
      <c r="D7" s="57" t="s">
        <v>8</v>
      </c>
      <c r="E7" s="57" t="s">
        <v>9</v>
      </c>
      <c r="F7" s="57" t="s">
        <v>10</v>
      </c>
    </row>
    <row r="8" spans="1:6" ht="15" thickBot="1" x14ac:dyDescent="0.35">
      <c r="A8" s="116">
        <v>1</v>
      </c>
      <c r="B8" s="55" t="s">
        <v>44</v>
      </c>
      <c r="C8" s="19">
        <v>0</v>
      </c>
      <c r="D8" s="19">
        <v>11</v>
      </c>
      <c r="E8" s="19">
        <v>11</v>
      </c>
      <c r="F8" s="19">
        <f>SUM(C8:E8)</f>
        <v>22</v>
      </c>
    </row>
    <row r="9" spans="1:6" ht="15" thickBot="1" x14ac:dyDescent="0.35">
      <c r="A9" s="116">
        <v>2</v>
      </c>
      <c r="B9" s="55" t="s">
        <v>45</v>
      </c>
      <c r="C9" s="19">
        <v>1</v>
      </c>
      <c r="D9" s="19">
        <v>51</v>
      </c>
      <c r="E9" s="19">
        <v>23</v>
      </c>
      <c r="F9" s="19">
        <f t="shared" ref="F9:F14" si="0">SUM(C9:E9)</f>
        <v>75</v>
      </c>
    </row>
    <row r="10" spans="1:6" ht="15" thickBot="1" x14ac:dyDescent="0.35">
      <c r="A10" s="116">
        <v>3</v>
      </c>
      <c r="B10" s="55" t="s">
        <v>46</v>
      </c>
      <c r="C10" s="19">
        <v>1</v>
      </c>
      <c r="D10" s="19">
        <v>71</v>
      </c>
      <c r="E10" s="19">
        <v>37</v>
      </c>
      <c r="F10" s="19">
        <f t="shared" si="0"/>
        <v>109</v>
      </c>
    </row>
    <row r="11" spans="1:6" ht="15" thickBot="1" x14ac:dyDescent="0.35">
      <c r="A11" s="116">
        <v>4</v>
      </c>
      <c r="B11" s="55" t="s">
        <v>47</v>
      </c>
      <c r="C11" s="19">
        <v>0</v>
      </c>
      <c r="D11" s="19">
        <v>3</v>
      </c>
      <c r="E11" s="19">
        <v>2</v>
      </c>
      <c r="F11" s="19">
        <f t="shared" si="0"/>
        <v>5</v>
      </c>
    </row>
    <row r="12" spans="1:6" ht="15" thickBot="1" x14ac:dyDescent="0.35">
      <c r="A12" s="116">
        <v>5</v>
      </c>
      <c r="B12" s="55" t="s">
        <v>48</v>
      </c>
      <c r="C12" s="19">
        <v>0</v>
      </c>
      <c r="D12" s="19">
        <v>0</v>
      </c>
      <c r="E12" s="19">
        <v>0</v>
      </c>
      <c r="F12" s="19">
        <f t="shared" si="0"/>
        <v>0</v>
      </c>
    </row>
    <row r="13" spans="1:6" ht="15" thickBot="1" x14ac:dyDescent="0.35">
      <c r="A13" s="116">
        <v>6</v>
      </c>
      <c r="B13" s="55" t="s">
        <v>49</v>
      </c>
      <c r="C13" s="19">
        <v>0</v>
      </c>
      <c r="D13" s="19">
        <v>1</v>
      </c>
      <c r="E13" s="19">
        <v>1</v>
      </c>
      <c r="F13" s="19">
        <f t="shared" si="0"/>
        <v>2</v>
      </c>
    </row>
    <row r="14" spans="1:6" ht="15" thickBot="1" x14ac:dyDescent="0.35">
      <c r="A14" s="116">
        <v>7</v>
      </c>
      <c r="B14" s="55" t="s">
        <v>50</v>
      </c>
      <c r="C14" s="19">
        <v>0</v>
      </c>
      <c r="D14" s="19">
        <v>0</v>
      </c>
      <c r="E14" s="19">
        <v>0</v>
      </c>
      <c r="F14" s="19">
        <f t="shared" si="0"/>
        <v>0</v>
      </c>
    </row>
    <row r="15" spans="1:6" ht="15" thickBot="1" x14ac:dyDescent="0.35">
      <c r="A15" s="246" t="s">
        <v>10</v>
      </c>
      <c r="B15" s="247"/>
      <c r="C15" s="131">
        <f>SUM(C8:C14)</f>
        <v>2</v>
      </c>
      <c r="D15" s="131">
        <f>SUM(D8:D14)</f>
        <v>137</v>
      </c>
      <c r="E15" s="131">
        <f>SUM(E8:E14)</f>
        <v>74</v>
      </c>
      <c r="F15" s="131">
        <f>SUM(F8:F14)</f>
        <v>213</v>
      </c>
    </row>
    <row r="16" spans="1:6" x14ac:dyDescent="0.3">
      <c r="A16" s="1"/>
    </row>
    <row r="17" spans="1:11" x14ac:dyDescent="0.3">
      <c r="A17" s="117" t="s">
        <v>11</v>
      </c>
    </row>
    <row r="18" spans="1:11" ht="15" thickBot="1" x14ac:dyDescent="0.35">
      <c r="A18" s="117" t="s">
        <v>12</v>
      </c>
    </row>
    <row r="19" spans="1:11" ht="57.6" x14ac:dyDescent="0.3">
      <c r="A19" s="57" t="s">
        <v>6</v>
      </c>
      <c r="B19" s="58" t="s">
        <v>18</v>
      </c>
      <c r="C19" s="57" t="s">
        <v>80</v>
      </c>
      <c r="D19" s="57" t="s">
        <v>14</v>
      </c>
      <c r="E19" s="57" t="s">
        <v>15</v>
      </c>
      <c r="F19" s="57" t="s">
        <v>10</v>
      </c>
    </row>
    <row r="20" spans="1:11" ht="15" thickBot="1" x14ac:dyDescent="0.35">
      <c r="A20" s="116">
        <v>1</v>
      </c>
      <c r="B20" s="55" t="s">
        <v>44</v>
      </c>
      <c r="C20" s="19">
        <v>0</v>
      </c>
      <c r="D20" s="19">
        <v>0</v>
      </c>
      <c r="E20" s="19">
        <v>0</v>
      </c>
      <c r="F20" s="19">
        <f>SUM(C20:E20)</f>
        <v>0</v>
      </c>
    </row>
    <row r="21" spans="1:11" ht="15" thickBot="1" x14ac:dyDescent="0.35">
      <c r="A21" s="116">
        <v>2</v>
      </c>
      <c r="B21" s="55" t="s">
        <v>45</v>
      </c>
      <c r="C21" s="19">
        <v>2</v>
      </c>
      <c r="D21" s="19">
        <v>1</v>
      </c>
      <c r="E21" s="19">
        <v>1</v>
      </c>
      <c r="F21" s="19">
        <f>SUM(C21:E21)</f>
        <v>4</v>
      </c>
    </row>
    <row r="22" spans="1:11" ht="15" thickBot="1" x14ac:dyDescent="0.35">
      <c r="A22" s="116">
        <v>3</v>
      </c>
      <c r="B22" s="55" t="s">
        <v>46</v>
      </c>
      <c r="C22" s="19">
        <v>2</v>
      </c>
      <c r="D22" s="19">
        <v>2</v>
      </c>
      <c r="E22" s="19">
        <v>0</v>
      </c>
      <c r="F22" s="19">
        <f>SUM(C22:E22)</f>
        <v>4</v>
      </c>
    </row>
    <row r="23" spans="1:11" ht="15" thickBot="1" x14ac:dyDescent="0.35">
      <c r="A23" s="116">
        <v>4</v>
      </c>
      <c r="B23" s="55" t="s">
        <v>47</v>
      </c>
      <c r="C23" s="19">
        <v>0</v>
      </c>
      <c r="D23" s="19">
        <v>0</v>
      </c>
      <c r="E23" s="19">
        <v>0</v>
      </c>
      <c r="F23" s="19">
        <v>0</v>
      </c>
    </row>
    <row r="24" spans="1:11" ht="15" thickBot="1" x14ac:dyDescent="0.35">
      <c r="A24" s="116">
        <v>5</v>
      </c>
      <c r="B24" s="55" t="s">
        <v>48</v>
      </c>
      <c r="C24" s="19">
        <v>0</v>
      </c>
      <c r="D24" s="19">
        <v>0</v>
      </c>
      <c r="E24" s="19">
        <v>0</v>
      </c>
      <c r="F24" s="19">
        <v>0</v>
      </c>
    </row>
    <row r="25" spans="1:11" ht="15" thickBot="1" x14ac:dyDescent="0.35">
      <c r="A25" s="116">
        <v>6</v>
      </c>
      <c r="B25" s="55" t="s">
        <v>49</v>
      </c>
      <c r="C25" s="19">
        <v>0</v>
      </c>
      <c r="D25" s="19">
        <v>0</v>
      </c>
      <c r="E25" s="19">
        <v>0</v>
      </c>
      <c r="F25" s="19">
        <v>0</v>
      </c>
    </row>
    <row r="26" spans="1:11" ht="15" thickBot="1" x14ac:dyDescent="0.35">
      <c r="A26" s="116">
        <v>7</v>
      </c>
      <c r="B26" s="55" t="s">
        <v>50</v>
      </c>
      <c r="C26" s="19">
        <v>0</v>
      </c>
      <c r="D26" s="19">
        <v>0</v>
      </c>
      <c r="E26" s="19">
        <v>0</v>
      </c>
      <c r="F26" s="19">
        <v>0</v>
      </c>
    </row>
    <row r="27" spans="1:11" ht="15" thickBot="1" x14ac:dyDescent="0.35">
      <c r="A27" s="246" t="s">
        <v>10</v>
      </c>
      <c r="B27" s="247"/>
      <c r="C27" s="131">
        <f>SUM(C20:C26)</f>
        <v>4</v>
      </c>
      <c r="D27" s="131">
        <f>SUM(D20:D26)</f>
        <v>3</v>
      </c>
      <c r="E27" s="131">
        <f>SUM(E20:E26)</f>
        <v>1</v>
      </c>
      <c r="F27" s="131">
        <f>SUM(F20:F26)</f>
        <v>8</v>
      </c>
    </row>
    <row r="28" spans="1:11" x14ac:dyDescent="0.3">
      <c r="A28" s="8"/>
    </row>
    <row r="29" spans="1:11" x14ac:dyDescent="0.3">
      <c r="A29" s="117" t="s">
        <v>107</v>
      </c>
    </row>
    <row r="30" spans="1:11" ht="57.6" x14ac:dyDescent="0.3">
      <c r="A30" s="52" t="s">
        <v>6</v>
      </c>
      <c r="B30" s="67" t="s">
        <v>18</v>
      </c>
      <c r="C30" s="227" t="s">
        <v>51</v>
      </c>
      <c r="D30" s="227"/>
      <c r="E30" s="227" t="s">
        <v>52</v>
      </c>
      <c r="F30" s="227"/>
      <c r="G30" s="227" t="s">
        <v>53</v>
      </c>
      <c r="H30" s="227"/>
      <c r="I30" s="248" t="s">
        <v>10</v>
      </c>
      <c r="J30" s="249"/>
      <c r="K30" s="250"/>
    </row>
    <row r="31" spans="1:11" x14ac:dyDescent="0.3">
      <c r="A31" s="73"/>
      <c r="B31" s="74"/>
      <c r="C31" s="133" t="s">
        <v>29</v>
      </c>
      <c r="D31" s="133" t="s">
        <v>30</v>
      </c>
      <c r="E31" s="133" t="s">
        <v>29</v>
      </c>
      <c r="F31" s="133" t="s">
        <v>30</v>
      </c>
      <c r="G31" s="133" t="s">
        <v>29</v>
      </c>
      <c r="H31" s="133" t="s">
        <v>30</v>
      </c>
      <c r="I31" s="133" t="s">
        <v>29</v>
      </c>
      <c r="J31" s="133" t="s">
        <v>30</v>
      </c>
      <c r="K31" s="133" t="s">
        <v>62</v>
      </c>
    </row>
    <row r="32" spans="1:11" x14ac:dyDescent="0.3">
      <c r="A32" s="18">
        <v>1</v>
      </c>
      <c r="B32" s="68" t="s">
        <v>44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f>G32+E32+C32</f>
        <v>0</v>
      </c>
      <c r="J32" s="20">
        <f>H32+F32+D32</f>
        <v>0</v>
      </c>
      <c r="K32" s="20">
        <f>J32+I32</f>
        <v>0</v>
      </c>
    </row>
    <row r="33" spans="1:17" ht="15" thickBot="1" x14ac:dyDescent="0.35">
      <c r="A33" s="116">
        <v>2</v>
      </c>
      <c r="B33" s="69" t="s">
        <v>45</v>
      </c>
      <c r="C33" s="20">
        <v>15</v>
      </c>
      <c r="D33" s="20">
        <v>17</v>
      </c>
      <c r="E33" s="20">
        <v>13</v>
      </c>
      <c r="F33" s="20">
        <v>18</v>
      </c>
      <c r="G33" s="20">
        <v>0</v>
      </c>
      <c r="H33" s="20">
        <v>0</v>
      </c>
      <c r="I33" s="20">
        <f t="shared" ref="I33:I38" si="1">G33+E33+C33</f>
        <v>28</v>
      </c>
      <c r="J33" s="20">
        <f t="shared" ref="J33:J38" si="2">H33+F33+D33</f>
        <v>35</v>
      </c>
      <c r="K33" s="20">
        <f t="shared" ref="K33:K38" si="3">J33+I33</f>
        <v>63</v>
      </c>
    </row>
    <row r="34" spans="1:17" ht="15" thickBot="1" x14ac:dyDescent="0.35">
      <c r="A34" s="116">
        <v>3</v>
      </c>
      <c r="B34" s="69" t="s">
        <v>46</v>
      </c>
      <c r="C34" s="20">
        <v>8</v>
      </c>
      <c r="D34" s="20">
        <v>10</v>
      </c>
      <c r="E34" s="20">
        <v>7</v>
      </c>
      <c r="F34" s="20">
        <v>5</v>
      </c>
      <c r="G34" s="20">
        <v>9</v>
      </c>
      <c r="H34" s="20">
        <v>4</v>
      </c>
      <c r="I34" s="20">
        <f t="shared" si="1"/>
        <v>24</v>
      </c>
      <c r="J34" s="20">
        <f t="shared" si="2"/>
        <v>19</v>
      </c>
      <c r="K34" s="20">
        <f t="shared" si="3"/>
        <v>43</v>
      </c>
    </row>
    <row r="35" spans="1:17" ht="15" thickBot="1" x14ac:dyDescent="0.35">
      <c r="A35" s="116">
        <v>4</v>
      </c>
      <c r="B35" s="69" t="s">
        <v>47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f t="shared" si="1"/>
        <v>0</v>
      </c>
      <c r="J35" s="20">
        <f t="shared" si="2"/>
        <v>0</v>
      </c>
      <c r="K35" s="20">
        <f t="shared" si="3"/>
        <v>0</v>
      </c>
    </row>
    <row r="36" spans="1:17" ht="15" thickBot="1" x14ac:dyDescent="0.35">
      <c r="A36" s="116">
        <v>5</v>
      </c>
      <c r="B36" s="69" t="s">
        <v>48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f t="shared" si="1"/>
        <v>0</v>
      </c>
      <c r="J36" s="20">
        <f t="shared" si="2"/>
        <v>0</v>
      </c>
      <c r="K36" s="20">
        <f t="shared" si="3"/>
        <v>0</v>
      </c>
    </row>
    <row r="37" spans="1:17" ht="15" thickBot="1" x14ac:dyDescent="0.35">
      <c r="A37" s="116">
        <v>6</v>
      </c>
      <c r="B37" s="69" t="s">
        <v>49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f t="shared" si="1"/>
        <v>0</v>
      </c>
      <c r="J37" s="20">
        <f t="shared" si="2"/>
        <v>0</v>
      </c>
      <c r="K37" s="20">
        <f t="shared" si="3"/>
        <v>0</v>
      </c>
    </row>
    <row r="38" spans="1:17" ht="15" thickBot="1" x14ac:dyDescent="0.35">
      <c r="A38" s="116">
        <v>7</v>
      </c>
      <c r="B38" s="69" t="s">
        <v>50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f t="shared" si="1"/>
        <v>0</v>
      </c>
      <c r="J38" s="20">
        <f t="shared" si="2"/>
        <v>0</v>
      </c>
      <c r="K38" s="20">
        <f t="shared" si="3"/>
        <v>0</v>
      </c>
    </row>
    <row r="39" spans="1:17" ht="15" thickBot="1" x14ac:dyDescent="0.35">
      <c r="A39" s="246" t="s">
        <v>10</v>
      </c>
      <c r="B39" s="251"/>
      <c r="C39" s="132">
        <f>SUM(C32:C38)</f>
        <v>23</v>
      </c>
      <c r="D39" s="132">
        <f t="shared" ref="D39:K39" si="4">SUM(D32:D38)</f>
        <v>27</v>
      </c>
      <c r="E39" s="132">
        <f t="shared" si="4"/>
        <v>20</v>
      </c>
      <c r="F39" s="132">
        <f t="shared" si="4"/>
        <v>23</v>
      </c>
      <c r="G39" s="132">
        <f t="shared" si="4"/>
        <v>9</v>
      </c>
      <c r="H39" s="132">
        <f t="shared" si="4"/>
        <v>4</v>
      </c>
      <c r="I39" s="132">
        <f>SUM(I32:I38)</f>
        <v>52</v>
      </c>
      <c r="J39" s="132">
        <f t="shared" si="4"/>
        <v>54</v>
      </c>
      <c r="K39" s="132">
        <f t="shared" si="4"/>
        <v>106</v>
      </c>
    </row>
    <row r="40" spans="1:17" x14ac:dyDescent="0.3">
      <c r="A40" s="8"/>
    </row>
    <row r="41" spans="1:17" x14ac:dyDescent="0.3">
      <c r="A41" s="1" t="s">
        <v>17</v>
      </c>
    </row>
    <row r="42" spans="1:17" ht="57.6" x14ac:dyDescent="0.3">
      <c r="A42" s="60" t="s">
        <v>6</v>
      </c>
      <c r="B42" s="60" t="s">
        <v>18</v>
      </c>
      <c r="C42" s="227" t="s">
        <v>64</v>
      </c>
      <c r="D42" s="227"/>
      <c r="E42" s="227" t="s">
        <v>63</v>
      </c>
      <c r="F42" s="227"/>
      <c r="G42" s="227" t="s">
        <v>65</v>
      </c>
      <c r="H42" s="227"/>
      <c r="I42" s="227" t="s">
        <v>66</v>
      </c>
      <c r="J42" s="227"/>
      <c r="K42" s="227" t="s">
        <v>61</v>
      </c>
      <c r="L42" s="227"/>
      <c r="M42" s="243" t="s">
        <v>10</v>
      </c>
      <c r="N42" s="244"/>
      <c r="O42" s="245"/>
      <c r="P42" s="123"/>
      <c r="Q42" s="123"/>
    </row>
    <row r="43" spans="1:17" x14ac:dyDescent="0.3">
      <c r="A43" s="75"/>
      <c r="B43" s="75"/>
      <c r="C43" s="133" t="s">
        <v>43</v>
      </c>
      <c r="D43" s="133" t="s">
        <v>30</v>
      </c>
      <c r="E43" s="133" t="s">
        <v>43</v>
      </c>
      <c r="F43" s="133" t="s">
        <v>30</v>
      </c>
      <c r="G43" s="133" t="s">
        <v>43</v>
      </c>
      <c r="H43" s="133" t="s">
        <v>30</v>
      </c>
      <c r="I43" s="133" t="s">
        <v>43</v>
      </c>
      <c r="J43" s="133" t="s">
        <v>30</v>
      </c>
      <c r="K43" s="133" t="s">
        <v>43</v>
      </c>
      <c r="L43" s="133" t="s">
        <v>30</v>
      </c>
      <c r="M43" s="133" t="s">
        <v>43</v>
      </c>
      <c r="N43" s="135" t="s">
        <v>30</v>
      </c>
      <c r="O43" s="137" t="s">
        <v>67</v>
      </c>
      <c r="P43" s="24"/>
    </row>
    <row r="44" spans="1:17" x14ac:dyDescent="0.3">
      <c r="A44" s="14">
        <v>1</v>
      </c>
      <c r="B44" s="54" t="s">
        <v>44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f>K44+I44+G44+E44+C44</f>
        <v>0</v>
      </c>
      <c r="N44" s="20">
        <f>L44+J44+H44+F44+D44</f>
        <v>0</v>
      </c>
      <c r="O44" s="18">
        <f>N44+M44</f>
        <v>0</v>
      </c>
      <c r="P44" s="24"/>
    </row>
    <row r="45" spans="1:17" x14ac:dyDescent="0.3">
      <c r="A45" s="14">
        <v>2</v>
      </c>
      <c r="B45" s="54" t="s">
        <v>45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4</v>
      </c>
      <c r="K45" s="20">
        <v>0</v>
      </c>
      <c r="L45" s="20">
        <v>0</v>
      </c>
      <c r="M45" s="20">
        <f t="shared" ref="M45:M50" si="5">K45+I45+G45+E45+C45</f>
        <v>0</v>
      </c>
      <c r="N45" s="20">
        <f t="shared" ref="N45:N50" si="6">L45+J45+H45+F45+D45</f>
        <v>4</v>
      </c>
      <c r="O45" s="18">
        <f t="shared" ref="O45:O50" si="7">N45+M45</f>
        <v>4</v>
      </c>
      <c r="P45" s="24"/>
    </row>
    <row r="46" spans="1:17" x14ac:dyDescent="0.3">
      <c r="A46" s="14">
        <v>3</v>
      </c>
      <c r="B46" s="54" t="s">
        <v>46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4</v>
      </c>
      <c r="K46" s="20">
        <v>0</v>
      </c>
      <c r="L46" s="20">
        <v>0</v>
      </c>
      <c r="M46" s="20">
        <f t="shared" si="5"/>
        <v>0</v>
      </c>
      <c r="N46" s="20">
        <f t="shared" si="6"/>
        <v>4</v>
      </c>
      <c r="O46" s="18">
        <f t="shared" si="7"/>
        <v>4</v>
      </c>
      <c r="P46" s="24"/>
    </row>
    <row r="47" spans="1:17" x14ac:dyDescent="0.3">
      <c r="A47" s="14">
        <v>4</v>
      </c>
      <c r="B47" s="54" t="s">
        <v>47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f t="shared" si="5"/>
        <v>0</v>
      </c>
      <c r="N47" s="20">
        <f t="shared" si="6"/>
        <v>0</v>
      </c>
      <c r="O47" s="18">
        <f t="shared" si="7"/>
        <v>0</v>
      </c>
      <c r="P47" s="24"/>
    </row>
    <row r="48" spans="1:17" x14ac:dyDescent="0.3">
      <c r="A48" s="14">
        <v>5</v>
      </c>
      <c r="B48" s="54" t="s">
        <v>48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f t="shared" si="5"/>
        <v>0</v>
      </c>
      <c r="N48" s="20">
        <f t="shared" si="6"/>
        <v>0</v>
      </c>
      <c r="O48" s="18">
        <f t="shared" si="7"/>
        <v>0</v>
      </c>
      <c r="P48" s="24"/>
    </row>
    <row r="49" spans="1:16" x14ac:dyDescent="0.3">
      <c r="A49" s="14">
        <v>6</v>
      </c>
      <c r="B49" s="54" t="s">
        <v>49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f t="shared" si="5"/>
        <v>0</v>
      </c>
      <c r="N49" s="20">
        <f t="shared" si="6"/>
        <v>0</v>
      </c>
      <c r="O49" s="18">
        <f t="shared" si="7"/>
        <v>0</v>
      </c>
      <c r="P49" s="24"/>
    </row>
    <row r="50" spans="1:16" x14ac:dyDescent="0.3">
      <c r="A50" s="14">
        <v>7</v>
      </c>
      <c r="B50" s="54" t="s">
        <v>50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f t="shared" si="5"/>
        <v>0</v>
      </c>
      <c r="N50" s="20">
        <f t="shared" si="6"/>
        <v>0</v>
      </c>
      <c r="O50" s="18">
        <f t="shared" si="7"/>
        <v>0</v>
      </c>
      <c r="P50" s="24"/>
    </row>
    <row r="51" spans="1:16" x14ac:dyDescent="0.3">
      <c r="A51" s="234" t="s">
        <v>10</v>
      </c>
      <c r="B51" s="234"/>
      <c r="C51" s="132">
        <v>0</v>
      </c>
      <c r="D51" s="132">
        <v>0</v>
      </c>
      <c r="E51" s="132">
        <v>0</v>
      </c>
      <c r="F51" s="132">
        <v>0</v>
      </c>
      <c r="G51" s="132">
        <v>0</v>
      </c>
      <c r="H51" s="132">
        <v>0</v>
      </c>
      <c r="I51" s="132">
        <v>0</v>
      </c>
      <c r="J51" s="132">
        <v>8</v>
      </c>
      <c r="K51" s="132">
        <v>0</v>
      </c>
      <c r="L51" s="132">
        <v>0</v>
      </c>
      <c r="M51" s="132">
        <v>0</v>
      </c>
      <c r="N51" s="136">
        <v>8</v>
      </c>
      <c r="O51" s="65">
        <v>8</v>
      </c>
      <c r="P51" s="124"/>
    </row>
    <row r="53" spans="1:16" x14ac:dyDescent="0.3">
      <c r="A53" s="112" t="s">
        <v>19</v>
      </c>
    </row>
    <row r="54" spans="1:16" x14ac:dyDescent="0.3">
      <c r="A54" s="112" t="s">
        <v>20</v>
      </c>
    </row>
    <row r="55" spans="1:16" ht="57.6" x14ac:dyDescent="0.3">
      <c r="A55" s="52" t="s">
        <v>6</v>
      </c>
      <c r="B55" s="52" t="s">
        <v>18</v>
      </c>
      <c r="C55" s="53" t="s">
        <v>84</v>
      </c>
      <c r="D55" s="53" t="s">
        <v>91</v>
      </c>
      <c r="E55" s="53" t="s">
        <v>92</v>
      </c>
      <c r="F55" s="53" t="s">
        <v>93</v>
      </c>
      <c r="G55" s="53" t="s">
        <v>85</v>
      </c>
      <c r="H55" s="53" t="s">
        <v>86</v>
      </c>
      <c r="I55" s="53" t="s">
        <v>10</v>
      </c>
    </row>
    <row r="56" spans="1:16" ht="15.6" x14ac:dyDescent="0.3">
      <c r="A56" s="18">
        <v>1</v>
      </c>
      <c r="B56" s="56" t="s">
        <v>44</v>
      </c>
      <c r="C56" s="25">
        <v>15</v>
      </c>
      <c r="D56" s="25">
        <v>15</v>
      </c>
      <c r="E56" s="25">
        <v>12</v>
      </c>
      <c r="F56" s="25">
        <v>12</v>
      </c>
      <c r="G56" s="25">
        <v>12</v>
      </c>
      <c r="H56" s="25">
        <v>12</v>
      </c>
      <c r="I56" s="18">
        <f>H56+G56+F56+E56+D56+C56</f>
        <v>78</v>
      </c>
    </row>
    <row r="57" spans="1:16" ht="15.6" x14ac:dyDescent="0.3">
      <c r="A57" s="18">
        <v>2</v>
      </c>
      <c r="B57" s="56" t="s">
        <v>45</v>
      </c>
      <c r="C57" s="25">
        <v>105</v>
      </c>
      <c r="D57" s="25">
        <v>99</v>
      </c>
      <c r="E57" s="25">
        <v>97</v>
      </c>
      <c r="F57" s="25">
        <v>97</v>
      </c>
      <c r="G57" s="25">
        <v>96</v>
      </c>
      <c r="H57" s="25">
        <v>84</v>
      </c>
      <c r="I57" s="18">
        <f t="shared" ref="I57:I62" si="8">H57+G57+F57+E57+D57+C57</f>
        <v>578</v>
      </c>
    </row>
    <row r="58" spans="1:16" ht="15.6" x14ac:dyDescent="0.3">
      <c r="A58" s="18">
        <v>3</v>
      </c>
      <c r="B58" s="56" t="s">
        <v>46</v>
      </c>
      <c r="C58" s="26">
        <v>84</v>
      </c>
      <c r="D58" s="25">
        <v>81</v>
      </c>
      <c r="E58" s="25">
        <v>76</v>
      </c>
      <c r="F58" s="25">
        <v>74</v>
      </c>
      <c r="G58" s="26">
        <v>73</v>
      </c>
      <c r="H58" s="25">
        <v>73</v>
      </c>
      <c r="I58" s="18">
        <f t="shared" si="8"/>
        <v>461</v>
      </c>
    </row>
    <row r="59" spans="1:16" ht="15.6" x14ac:dyDescent="0.3">
      <c r="A59" s="18">
        <v>4</v>
      </c>
      <c r="B59" s="56" t="s">
        <v>47</v>
      </c>
      <c r="C59" s="25">
        <v>3</v>
      </c>
      <c r="D59" s="25">
        <v>3</v>
      </c>
      <c r="E59" s="25">
        <v>3</v>
      </c>
      <c r="F59" s="25">
        <v>3</v>
      </c>
      <c r="G59" s="25">
        <v>3</v>
      </c>
      <c r="H59" s="25">
        <v>3</v>
      </c>
      <c r="I59" s="18">
        <f t="shared" si="8"/>
        <v>18</v>
      </c>
    </row>
    <row r="60" spans="1:16" x14ac:dyDescent="0.3">
      <c r="A60" s="18">
        <v>5</v>
      </c>
      <c r="B60" s="56" t="s">
        <v>48</v>
      </c>
      <c r="C60" s="27">
        <v>0</v>
      </c>
      <c r="D60" s="27">
        <v>0</v>
      </c>
      <c r="E60" s="27">
        <v>0</v>
      </c>
      <c r="F60" s="27">
        <v>0</v>
      </c>
      <c r="G60" s="27">
        <v>0</v>
      </c>
      <c r="H60" s="27">
        <v>0</v>
      </c>
      <c r="I60" s="18">
        <f t="shared" si="8"/>
        <v>0</v>
      </c>
    </row>
    <row r="61" spans="1:16" ht="15.6" x14ac:dyDescent="0.3">
      <c r="A61" s="18">
        <v>6</v>
      </c>
      <c r="B61" s="56" t="s">
        <v>49</v>
      </c>
      <c r="C61" s="25">
        <v>1</v>
      </c>
      <c r="D61" s="25">
        <v>1</v>
      </c>
      <c r="E61" s="25">
        <v>1</v>
      </c>
      <c r="F61" s="25">
        <v>1</v>
      </c>
      <c r="G61" s="25">
        <v>1</v>
      </c>
      <c r="H61" s="25">
        <v>1</v>
      </c>
      <c r="I61" s="18">
        <f t="shared" si="8"/>
        <v>6</v>
      </c>
    </row>
    <row r="62" spans="1:16" x14ac:dyDescent="0.3">
      <c r="A62" s="18">
        <v>7</v>
      </c>
      <c r="B62" s="56" t="s">
        <v>50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f t="shared" si="8"/>
        <v>0</v>
      </c>
    </row>
    <row r="63" spans="1:16" x14ac:dyDescent="0.3">
      <c r="A63" s="226" t="s">
        <v>10</v>
      </c>
      <c r="B63" s="226"/>
      <c r="C63" s="66">
        <f>SUM(C56:C62)</f>
        <v>208</v>
      </c>
      <c r="D63" s="66">
        <f t="shared" ref="D63:I63" si="9">SUM(D56:D62)</f>
        <v>199</v>
      </c>
      <c r="E63" s="66">
        <f t="shared" si="9"/>
        <v>189</v>
      </c>
      <c r="F63" s="66">
        <f t="shared" si="9"/>
        <v>187</v>
      </c>
      <c r="G63" s="66">
        <f t="shared" si="9"/>
        <v>185</v>
      </c>
      <c r="H63" s="66">
        <f t="shared" si="9"/>
        <v>173</v>
      </c>
      <c r="I63" s="66">
        <f t="shared" si="9"/>
        <v>1141</v>
      </c>
    </row>
    <row r="64" spans="1:16" x14ac:dyDescent="0.3">
      <c r="A64" s="1"/>
    </row>
    <row r="65" spans="1:57" x14ac:dyDescent="0.3">
      <c r="A65" s="237" t="s">
        <v>27</v>
      </c>
      <c r="B65" s="238"/>
      <c r="C65" s="238"/>
      <c r="D65" s="238"/>
      <c r="E65" s="238"/>
      <c r="F65" s="238"/>
      <c r="G65" s="238"/>
      <c r="H65" s="238"/>
      <c r="I65" s="238"/>
      <c r="J65" s="238"/>
      <c r="K65" s="238"/>
      <c r="L65" s="238"/>
      <c r="M65" s="238"/>
      <c r="N65" s="238"/>
      <c r="O65" s="238"/>
      <c r="P65" s="238"/>
      <c r="Q65" s="238"/>
      <c r="R65" s="238"/>
      <c r="S65" s="239"/>
    </row>
    <row r="66" spans="1:57" ht="57.6" x14ac:dyDescent="0.3">
      <c r="A66" s="52" t="s">
        <v>6</v>
      </c>
      <c r="B66" s="52" t="s">
        <v>18</v>
      </c>
      <c r="C66" s="230" t="s">
        <v>84</v>
      </c>
      <c r="D66" s="230"/>
      <c r="E66" s="230" t="s">
        <v>68</v>
      </c>
      <c r="F66" s="230"/>
      <c r="G66" s="230" t="s">
        <v>69</v>
      </c>
      <c r="H66" s="230"/>
      <c r="I66" s="230" t="s">
        <v>39</v>
      </c>
      <c r="J66" s="230"/>
      <c r="K66" s="230" t="s">
        <v>70</v>
      </c>
      <c r="L66" s="230"/>
      <c r="M66" s="230" t="s">
        <v>40</v>
      </c>
      <c r="N66" s="230"/>
      <c r="O66" s="230" t="s">
        <v>10</v>
      </c>
      <c r="P66" s="230"/>
      <c r="Q66" s="230"/>
    </row>
    <row r="67" spans="1:57" x14ac:dyDescent="0.3">
      <c r="A67" s="73"/>
      <c r="B67" s="73"/>
      <c r="C67" s="137" t="s">
        <v>29</v>
      </c>
      <c r="D67" s="137" t="s">
        <v>30</v>
      </c>
      <c r="E67" s="137" t="s">
        <v>29</v>
      </c>
      <c r="F67" s="137" t="s">
        <v>30</v>
      </c>
      <c r="G67" s="137" t="s">
        <v>29</v>
      </c>
      <c r="H67" s="137" t="s">
        <v>30</v>
      </c>
      <c r="I67" s="137" t="s">
        <v>29</v>
      </c>
      <c r="J67" s="137" t="s">
        <v>30</v>
      </c>
      <c r="K67" s="137" t="s">
        <v>29</v>
      </c>
      <c r="L67" s="137" t="s">
        <v>30</v>
      </c>
      <c r="M67" s="137" t="s">
        <v>29</v>
      </c>
      <c r="N67" s="137" t="s">
        <v>30</v>
      </c>
      <c r="O67" s="137" t="s">
        <v>29</v>
      </c>
      <c r="P67" s="137" t="s">
        <v>30</v>
      </c>
      <c r="Q67" s="137" t="s">
        <v>62</v>
      </c>
    </row>
    <row r="68" spans="1:57" x14ac:dyDescent="0.3">
      <c r="A68" s="18">
        <v>1</v>
      </c>
      <c r="B68" s="56" t="s">
        <v>44</v>
      </c>
      <c r="C68" s="18">
        <v>514</v>
      </c>
      <c r="D68" s="18">
        <v>496</v>
      </c>
      <c r="E68" s="18">
        <v>436</v>
      </c>
      <c r="F68" s="18">
        <v>428</v>
      </c>
      <c r="G68" s="18">
        <v>404</v>
      </c>
      <c r="H68" s="18">
        <v>400</v>
      </c>
      <c r="I68" s="18">
        <v>356</v>
      </c>
      <c r="J68" s="18">
        <v>367</v>
      </c>
      <c r="K68" s="18">
        <v>330</v>
      </c>
      <c r="L68" s="18">
        <v>315</v>
      </c>
      <c r="M68" s="18">
        <v>298</v>
      </c>
      <c r="N68" s="18">
        <v>281</v>
      </c>
      <c r="O68" s="18">
        <f>M68+K68+I68+G68+E68+C68</f>
        <v>2338</v>
      </c>
      <c r="P68" s="18">
        <f>N68+L68+J68+H68+F68+D68</f>
        <v>2287</v>
      </c>
      <c r="Q68" s="18">
        <f>P68+O68</f>
        <v>4625</v>
      </c>
      <c r="BD68" s="20"/>
      <c r="BE68" s="20"/>
    </row>
    <row r="69" spans="1:57" x14ac:dyDescent="0.3">
      <c r="A69" s="18">
        <v>2</v>
      </c>
      <c r="B69" s="56" t="s">
        <v>45</v>
      </c>
      <c r="C69" s="18">
        <v>2095</v>
      </c>
      <c r="D69" s="18">
        <v>2075</v>
      </c>
      <c r="E69" s="18">
        <v>1766</v>
      </c>
      <c r="F69" s="18">
        <v>1730</v>
      </c>
      <c r="G69" s="18">
        <v>1588</v>
      </c>
      <c r="H69" s="18">
        <v>1500</v>
      </c>
      <c r="I69" s="18">
        <v>1396</v>
      </c>
      <c r="J69" s="18">
        <v>1302</v>
      </c>
      <c r="K69" s="18">
        <v>1234</v>
      </c>
      <c r="L69" s="18">
        <v>1144</v>
      </c>
      <c r="M69" s="18">
        <v>1037</v>
      </c>
      <c r="N69" s="18">
        <v>935</v>
      </c>
      <c r="O69" s="18">
        <f t="shared" ref="O69:O74" si="10">M69+K69+I69+G69+E69+C69</f>
        <v>9116</v>
      </c>
      <c r="P69" s="18">
        <f t="shared" ref="P69:P74" si="11">N69+L69+J69+H69+F69+D69</f>
        <v>8686</v>
      </c>
      <c r="Q69" s="18">
        <f t="shared" ref="Q69:Q74" si="12">P69+O69</f>
        <v>17802</v>
      </c>
      <c r="BD69" s="14"/>
      <c r="BE69" s="14"/>
    </row>
    <row r="70" spans="1:57" x14ac:dyDescent="0.3">
      <c r="A70" s="18">
        <v>3</v>
      </c>
      <c r="B70" s="56" t="s">
        <v>46</v>
      </c>
      <c r="C70" s="18">
        <v>2677</v>
      </c>
      <c r="D70" s="18">
        <v>2695</v>
      </c>
      <c r="E70" s="64">
        <v>2186</v>
      </c>
      <c r="F70" s="18">
        <v>2126</v>
      </c>
      <c r="G70" s="18">
        <v>2120</v>
      </c>
      <c r="H70" s="64">
        <v>2125</v>
      </c>
      <c r="I70" s="18">
        <v>1853</v>
      </c>
      <c r="J70" s="18">
        <v>1770</v>
      </c>
      <c r="K70" s="18">
        <v>1802</v>
      </c>
      <c r="L70" s="18">
        <v>1639</v>
      </c>
      <c r="M70" s="64">
        <v>1588</v>
      </c>
      <c r="N70" s="18">
        <v>1420</v>
      </c>
      <c r="O70" s="18">
        <f t="shared" si="10"/>
        <v>12226</v>
      </c>
      <c r="P70" s="18">
        <f t="shared" si="11"/>
        <v>11775</v>
      </c>
      <c r="Q70" s="18">
        <f t="shared" si="12"/>
        <v>24001</v>
      </c>
      <c r="BD70" s="22"/>
      <c r="BE70" s="22"/>
    </row>
    <row r="71" spans="1:57" x14ac:dyDescent="0.3">
      <c r="A71" s="18">
        <v>4</v>
      </c>
      <c r="B71" s="56" t="s">
        <v>47</v>
      </c>
      <c r="C71" s="18">
        <v>78</v>
      </c>
      <c r="D71" s="18">
        <v>96</v>
      </c>
      <c r="E71" s="18">
        <v>65</v>
      </c>
      <c r="F71" s="18">
        <v>58</v>
      </c>
      <c r="G71" s="18">
        <v>48</v>
      </c>
      <c r="H71" s="18">
        <v>62</v>
      </c>
      <c r="I71" s="18">
        <v>50</v>
      </c>
      <c r="J71" s="18">
        <v>40</v>
      </c>
      <c r="K71" s="18">
        <v>43</v>
      </c>
      <c r="L71" s="18">
        <v>41</v>
      </c>
      <c r="M71" s="18">
        <v>28</v>
      </c>
      <c r="N71" s="18">
        <v>28</v>
      </c>
      <c r="O71" s="18">
        <f t="shared" si="10"/>
        <v>312</v>
      </c>
      <c r="P71" s="18">
        <f t="shared" si="11"/>
        <v>325</v>
      </c>
      <c r="Q71" s="18">
        <f t="shared" si="12"/>
        <v>637</v>
      </c>
      <c r="BD71" s="22"/>
      <c r="BE71" s="22"/>
    </row>
    <row r="72" spans="1:57" x14ac:dyDescent="0.3">
      <c r="A72" s="18">
        <v>5</v>
      </c>
      <c r="B72" s="56" t="s">
        <v>48</v>
      </c>
      <c r="C72" s="27">
        <v>0</v>
      </c>
      <c r="D72" s="27">
        <v>0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18">
        <f t="shared" si="10"/>
        <v>0</v>
      </c>
      <c r="P72" s="18">
        <f t="shared" si="11"/>
        <v>0</v>
      </c>
      <c r="Q72" s="18">
        <f t="shared" si="12"/>
        <v>0</v>
      </c>
      <c r="BD72" s="22"/>
      <c r="BE72" s="22"/>
    </row>
    <row r="73" spans="1:57" x14ac:dyDescent="0.3">
      <c r="A73" s="18">
        <v>6</v>
      </c>
      <c r="B73" s="56" t="s">
        <v>49</v>
      </c>
      <c r="C73" s="18">
        <v>5</v>
      </c>
      <c r="D73" s="18">
        <v>6</v>
      </c>
      <c r="E73" s="18">
        <v>13</v>
      </c>
      <c r="F73" s="18">
        <v>5</v>
      </c>
      <c r="G73" s="18">
        <v>10</v>
      </c>
      <c r="H73" s="18">
        <v>7</v>
      </c>
      <c r="I73" s="18">
        <v>8</v>
      </c>
      <c r="J73" s="18">
        <v>6</v>
      </c>
      <c r="K73" s="18">
        <v>11</v>
      </c>
      <c r="L73" s="18">
        <v>13</v>
      </c>
      <c r="M73" s="18">
        <v>11</v>
      </c>
      <c r="N73" s="18">
        <v>11</v>
      </c>
      <c r="O73" s="18">
        <f t="shared" si="10"/>
        <v>58</v>
      </c>
      <c r="P73" s="18">
        <f t="shared" si="11"/>
        <v>48</v>
      </c>
      <c r="Q73" s="18">
        <f t="shared" si="12"/>
        <v>106</v>
      </c>
      <c r="BD73" s="24"/>
      <c r="BE73" s="24"/>
    </row>
    <row r="74" spans="1:57" x14ac:dyDescent="0.3">
      <c r="A74" s="18">
        <v>7</v>
      </c>
      <c r="B74" s="56" t="s">
        <v>50</v>
      </c>
      <c r="C74" s="18">
        <v>0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f t="shared" si="10"/>
        <v>0</v>
      </c>
      <c r="P74" s="18">
        <f t="shared" si="11"/>
        <v>0</v>
      </c>
      <c r="Q74" s="18">
        <f t="shared" si="12"/>
        <v>0</v>
      </c>
      <c r="BD74" s="28"/>
      <c r="BE74" s="28"/>
    </row>
    <row r="75" spans="1:57" x14ac:dyDescent="0.3">
      <c r="A75" s="226" t="s">
        <v>10</v>
      </c>
      <c r="B75" s="226"/>
      <c r="C75" s="65">
        <f>SUM(C68:C74)</f>
        <v>5369</v>
      </c>
      <c r="D75" s="65">
        <f t="shared" ref="D75:Q75" si="13">SUM(D68:D74)</f>
        <v>5368</v>
      </c>
      <c r="E75" s="65">
        <f t="shared" si="13"/>
        <v>4466</v>
      </c>
      <c r="F75" s="65">
        <f t="shared" si="13"/>
        <v>4347</v>
      </c>
      <c r="G75" s="65">
        <f t="shared" si="13"/>
        <v>4170</v>
      </c>
      <c r="H75" s="65">
        <f t="shared" si="13"/>
        <v>4094</v>
      </c>
      <c r="I75" s="65">
        <f t="shared" si="13"/>
        <v>3663</v>
      </c>
      <c r="J75" s="65">
        <f t="shared" si="13"/>
        <v>3485</v>
      </c>
      <c r="K75" s="65">
        <f t="shared" si="13"/>
        <v>3420</v>
      </c>
      <c r="L75" s="65">
        <f t="shared" si="13"/>
        <v>3152</v>
      </c>
      <c r="M75" s="65">
        <f t="shared" si="13"/>
        <v>2962</v>
      </c>
      <c r="N75" s="65">
        <f t="shared" si="13"/>
        <v>2675</v>
      </c>
      <c r="O75" s="65">
        <f>SUM(O68:O74)</f>
        <v>24050</v>
      </c>
      <c r="P75" s="65">
        <f t="shared" si="13"/>
        <v>23121</v>
      </c>
      <c r="Q75" s="65">
        <f t="shared" si="13"/>
        <v>47171</v>
      </c>
      <c r="BD75" s="24"/>
      <c r="BE75" s="24"/>
    </row>
    <row r="76" spans="1:57" x14ac:dyDescent="0.3">
      <c r="A76" s="1"/>
      <c r="BD76" s="24"/>
      <c r="BE76" s="24"/>
    </row>
    <row r="77" spans="1:57" x14ac:dyDescent="0.3">
      <c r="A77" s="1" t="s">
        <v>31</v>
      </c>
      <c r="BD77" s="12"/>
      <c r="BE77" s="12"/>
    </row>
    <row r="78" spans="1:57" ht="57.6" x14ac:dyDescent="0.3">
      <c r="A78" s="60" t="s">
        <v>6</v>
      </c>
      <c r="B78" s="60" t="s">
        <v>18</v>
      </c>
      <c r="C78" s="227" t="s">
        <v>64</v>
      </c>
      <c r="D78" s="227"/>
      <c r="E78" s="227" t="s">
        <v>63</v>
      </c>
      <c r="F78" s="227"/>
      <c r="G78" s="227" t="s">
        <v>66</v>
      </c>
      <c r="H78" s="227"/>
      <c r="I78" s="227" t="s">
        <v>61</v>
      </c>
      <c r="J78" s="227"/>
      <c r="K78" s="231" t="s">
        <v>71</v>
      </c>
      <c r="L78" s="232"/>
      <c r="M78" s="233"/>
    </row>
    <row r="79" spans="1:57" x14ac:dyDescent="0.3">
      <c r="A79" s="75"/>
      <c r="B79" s="73"/>
      <c r="C79" s="133" t="s">
        <v>43</v>
      </c>
      <c r="D79" s="133" t="s">
        <v>30</v>
      </c>
      <c r="E79" s="133" t="s">
        <v>43</v>
      </c>
      <c r="F79" s="133" t="s">
        <v>30</v>
      </c>
      <c r="G79" s="133" t="s">
        <v>43</v>
      </c>
      <c r="H79" s="133" t="s">
        <v>30</v>
      </c>
      <c r="I79" s="133" t="s">
        <v>43</v>
      </c>
      <c r="J79" s="133" t="s">
        <v>30</v>
      </c>
      <c r="K79" s="133" t="s">
        <v>43</v>
      </c>
      <c r="L79" s="133" t="s">
        <v>30</v>
      </c>
      <c r="M79" s="133" t="s">
        <v>67</v>
      </c>
    </row>
    <row r="80" spans="1:57" x14ac:dyDescent="0.3">
      <c r="A80" s="20">
        <v>1</v>
      </c>
      <c r="B80" s="63" t="s">
        <v>44</v>
      </c>
      <c r="C80" s="20">
        <v>0</v>
      </c>
      <c r="D80" s="20">
        <v>0</v>
      </c>
      <c r="E80" s="20">
        <v>0</v>
      </c>
      <c r="F80" s="20">
        <v>0</v>
      </c>
      <c r="G80" s="20">
        <v>53</v>
      </c>
      <c r="H80" s="20">
        <v>25</v>
      </c>
      <c r="I80" s="20">
        <v>0</v>
      </c>
      <c r="J80" s="20">
        <v>0</v>
      </c>
      <c r="K80" s="20">
        <f>I80+G80+E80+C80</f>
        <v>53</v>
      </c>
      <c r="L80" s="20">
        <f>J80+H80+F80+D80</f>
        <v>25</v>
      </c>
      <c r="M80" s="20">
        <f>L80+K80</f>
        <v>78</v>
      </c>
    </row>
    <row r="81" spans="1:13" ht="15" thickBot="1" x14ac:dyDescent="0.35">
      <c r="A81" s="20">
        <v>2</v>
      </c>
      <c r="B81" s="55" t="s">
        <v>45</v>
      </c>
      <c r="C81" s="20">
        <v>0</v>
      </c>
      <c r="D81" s="20">
        <v>0</v>
      </c>
      <c r="E81" s="20">
        <v>0</v>
      </c>
      <c r="F81" s="20">
        <v>0</v>
      </c>
      <c r="G81" s="20">
        <v>481</v>
      </c>
      <c r="H81" s="20">
        <v>97</v>
      </c>
      <c r="I81" s="20">
        <v>0</v>
      </c>
      <c r="J81" s="20">
        <v>0</v>
      </c>
      <c r="K81" s="20">
        <f t="shared" ref="K81:K86" si="14">I81+G81+E81+C81</f>
        <v>481</v>
      </c>
      <c r="L81" s="20">
        <f t="shared" ref="L81:L86" si="15">J81+H81+F81+D81</f>
        <v>97</v>
      </c>
      <c r="M81" s="20">
        <f t="shared" ref="M81:M86" si="16">L81+K81</f>
        <v>578</v>
      </c>
    </row>
    <row r="82" spans="1:13" ht="15" thickBot="1" x14ac:dyDescent="0.35">
      <c r="A82" s="20">
        <v>3</v>
      </c>
      <c r="B82" s="55" t="s">
        <v>46</v>
      </c>
      <c r="C82" s="20">
        <v>0</v>
      </c>
      <c r="D82" s="20">
        <v>0</v>
      </c>
      <c r="E82" s="20">
        <v>0</v>
      </c>
      <c r="F82" s="20">
        <v>0</v>
      </c>
      <c r="G82" s="20">
        <v>323</v>
      </c>
      <c r="H82" s="20">
        <v>138</v>
      </c>
      <c r="I82" s="20">
        <v>0</v>
      </c>
      <c r="J82" s="20">
        <v>0</v>
      </c>
      <c r="K82" s="20">
        <f t="shared" si="14"/>
        <v>323</v>
      </c>
      <c r="L82" s="20">
        <f t="shared" si="15"/>
        <v>138</v>
      </c>
      <c r="M82" s="20">
        <f t="shared" si="16"/>
        <v>461</v>
      </c>
    </row>
    <row r="83" spans="1:13" ht="15" thickBot="1" x14ac:dyDescent="0.35">
      <c r="A83" s="20">
        <v>4</v>
      </c>
      <c r="B83" s="55" t="s">
        <v>47</v>
      </c>
      <c r="C83" s="20">
        <v>0</v>
      </c>
      <c r="D83" s="20">
        <v>0</v>
      </c>
      <c r="E83" s="20">
        <v>0</v>
      </c>
      <c r="F83" s="20">
        <v>0</v>
      </c>
      <c r="G83" s="20">
        <v>13</v>
      </c>
      <c r="H83" s="20">
        <v>5</v>
      </c>
      <c r="I83" s="20">
        <v>0</v>
      </c>
      <c r="J83" s="20">
        <v>0</v>
      </c>
      <c r="K83" s="20">
        <f t="shared" si="14"/>
        <v>13</v>
      </c>
      <c r="L83" s="20">
        <f t="shared" si="15"/>
        <v>5</v>
      </c>
      <c r="M83" s="20">
        <f t="shared" si="16"/>
        <v>18</v>
      </c>
    </row>
    <row r="84" spans="1:13" ht="15" thickBot="1" x14ac:dyDescent="0.35">
      <c r="A84" s="20">
        <v>5</v>
      </c>
      <c r="B84" s="55" t="s">
        <v>48</v>
      </c>
      <c r="C84" s="20">
        <v>0</v>
      </c>
      <c r="D84" s="20">
        <v>0</v>
      </c>
      <c r="E84" s="20">
        <v>0</v>
      </c>
      <c r="F84" s="20">
        <v>0</v>
      </c>
      <c r="G84" s="20">
        <f>I84-H84</f>
        <v>0</v>
      </c>
      <c r="H84" s="20">
        <v>0</v>
      </c>
      <c r="I84" s="20">
        <v>0</v>
      </c>
      <c r="J84" s="20">
        <v>0</v>
      </c>
      <c r="K84" s="20">
        <f t="shared" si="14"/>
        <v>0</v>
      </c>
      <c r="L84" s="20">
        <f t="shared" si="15"/>
        <v>0</v>
      </c>
      <c r="M84" s="20">
        <f t="shared" si="16"/>
        <v>0</v>
      </c>
    </row>
    <row r="85" spans="1:13" ht="15" thickBot="1" x14ac:dyDescent="0.35">
      <c r="A85" s="20">
        <v>6</v>
      </c>
      <c r="B85" s="55" t="s">
        <v>49</v>
      </c>
      <c r="C85" s="20">
        <v>0</v>
      </c>
      <c r="D85" s="20">
        <v>0</v>
      </c>
      <c r="E85" s="20">
        <v>0</v>
      </c>
      <c r="F85" s="20">
        <v>0</v>
      </c>
      <c r="G85" s="20">
        <v>1</v>
      </c>
      <c r="H85" s="20">
        <v>5</v>
      </c>
      <c r="I85" s="20">
        <v>0</v>
      </c>
      <c r="J85" s="20">
        <v>0</v>
      </c>
      <c r="K85" s="20">
        <f t="shared" si="14"/>
        <v>1</v>
      </c>
      <c r="L85" s="20">
        <f t="shared" si="15"/>
        <v>5</v>
      </c>
      <c r="M85" s="20">
        <f t="shared" si="16"/>
        <v>6</v>
      </c>
    </row>
    <row r="86" spans="1:13" ht="15" thickBot="1" x14ac:dyDescent="0.35">
      <c r="A86" s="20">
        <v>7</v>
      </c>
      <c r="B86" s="55" t="s">
        <v>50</v>
      </c>
      <c r="C86" s="20">
        <v>0</v>
      </c>
      <c r="D86" s="20">
        <v>0</v>
      </c>
      <c r="E86" s="20">
        <v>0</v>
      </c>
      <c r="F86" s="20">
        <v>0</v>
      </c>
      <c r="G86" s="20">
        <f>I86-H86</f>
        <v>0</v>
      </c>
      <c r="H86" s="20">
        <v>0</v>
      </c>
      <c r="I86" s="20">
        <v>0</v>
      </c>
      <c r="J86" s="20">
        <v>0</v>
      </c>
      <c r="K86" s="20">
        <f t="shared" si="14"/>
        <v>0</v>
      </c>
      <c r="L86" s="20">
        <f t="shared" si="15"/>
        <v>0</v>
      </c>
      <c r="M86" s="20">
        <f t="shared" si="16"/>
        <v>0</v>
      </c>
    </row>
    <row r="87" spans="1:13" x14ac:dyDescent="0.3">
      <c r="A87" s="234" t="s">
        <v>10</v>
      </c>
      <c r="B87" s="234"/>
      <c r="C87" s="132">
        <f>SUM(C80:C86)</f>
        <v>0</v>
      </c>
      <c r="D87" s="132">
        <f t="shared" ref="D87:J87" si="17">SUM(D80:D86)</f>
        <v>0</v>
      </c>
      <c r="E87" s="132">
        <f t="shared" si="17"/>
        <v>0</v>
      </c>
      <c r="F87" s="132">
        <f t="shared" si="17"/>
        <v>0</v>
      </c>
      <c r="G87" s="132">
        <f t="shared" si="17"/>
        <v>871</v>
      </c>
      <c r="H87" s="132">
        <f t="shared" si="17"/>
        <v>270</v>
      </c>
      <c r="I87" s="132">
        <f t="shared" si="17"/>
        <v>0</v>
      </c>
      <c r="J87" s="132">
        <f t="shared" si="17"/>
        <v>0</v>
      </c>
      <c r="K87" s="132">
        <f>SUM(K80:K86)</f>
        <v>871</v>
      </c>
      <c r="L87" s="132">
        <f>SUM(L80:L86)</f>
        <v>270</v>
      </c>
      <c r="M87" s="132">
        <f>SUM(M80:M86)</f>
        <v>1141</v>
      </c>
    </row>
    <row r="88" spans="1:13" x14ac:dyDescent="0.3">
      <c r="A88" s="1"/>
    </row>
    <row r="89" spans="1:13" x14ac:dyDescent="0.3">
      <c r="A89" s="1"/>
    </row>
    <row r="90" spans="1:13" x14ac:dyDescent="0.3">
      <c r="A90" s="112" t="s">
        <v>32</v>
      </c>
    </row>
    <row r="91" spans="1:13" ht="15" thickBot="1" x14ac:dyDescent="0.35">
      <c r="A91" s="1" t="s">
        <v>33</v>
      </c>
    </row>
    <row r="92" spans="1:13" ht="43.2" x14ac:dyDescent="0.3">
      <c r="A92" s="57" t="s">
        <v>6</v>
      </c>
      <c r="B92" s="58" t="s">
        <v>41</v>
      </c>
      <c r="C92" s="139" t="s">
        <v>74</v>
      </c>
      <c r="D92" s="139" t="s">
        <v>42</v>
      </c>
      <c r="E92" s="138" t="s">
        <v>80</v>
      </c>
      <c r="F92" s="138" t="s">
        <v>81</v>
      </c>
      <c r="G92" s="138" t="s">
        <v>82</v>
      </c>
      <c r="H92" s="138" t="s">
        <v>83</v>
      </c>
      <c r="I92" s="138" t="s">
        <v>10</v>
      </c>
    </row>
    <row r="93" spans="1:13" ht="15" thickBot="1" x14ac:dyDescent="0.35">
      <c r="A93" s="5">
        <v>1</v>
      </c>
      <c r="B93" s="56" t="s">
        <v>44</v>
      </c>
      <c r="C93" s="19">
        <v>13</v>
      </c>
      <c r="D93" s="19">
        <v>13</v>
      </c>
      <c r="E93" s="19">
        <v>13</v>
      </c>
      <c r="F93" s="19">
        <v>12</v>
      </c>
      <c r="G93" s="19">
        <v>12</v>
      </c>
      <c r="H93" s="19">
        <v>9</v>
      </c>
      <c r="I93" s="19">
        <f>SUM(C93:H93)</f>
        <v>72</v>
      </c>
    </row>
    <row r="94" spans="1:13" ht="15" thickBot="1" x14ac:dyDescent="0.35">
      <c r="A94" s="5">
        <v>2</v>
      </c>
      <c r="B94" s="55" t="s">
        <v>45</v>
      </c>
      <c r="C94" s="19">
        <v>29</v>
      </c>
      <c r="D94" s="19">
        <v>28</v>
      </c>
      <c r="E94" s="19">
        <v>27</v>
      </c>
      <c r="F94" s="19">
        <v>26</v>
      </c>
      <c r="G94" s="19">
        <v>26</v>
      </c>
      <c r="H94" s="19">
        <v>23</v>
      </c>
      <c r="I94" s="19">
        <f t="shared" ref="I94:I99" si="18">SUM(C94:H94)</f>
        <v>159</v>
      </c>
    </row>
    <row r="95" spans="1:13" ht="15" thickBot="1" x14ac:dyDescent="0.35">
      <c r="A95" s="5">
        <v>3</v>
      </c>
      <c r="B95" s="55" t="s">
        <v>46</v>
      </c>
      <c r="C95" s="19">
        <v>44</v>
      </c>
      <c r="D95" s="19">
        <v>43</v>
      </c>
      <c r="E95" s="19">
        <v>43</v>
      </c>
      <c r="F95" s="19">
        <v>42</v>
      </c>
      <c r="G95" s="19">
        <v>42</v>
      </c>
      <c r="H95" s="19">
        <v>34</v>
      </c>
      <c r="I95" s="19">
        <f t="shared" si="18"/>
        <v>248</v>
      </c>
    </row>
    <row r="96" spans="1:13" ht="15" thickBot="1" x14ac:dyDescent="0.35">
      <c r="A96" s="5">
        <v>4</v>
      </c>
      <c r="B96" s="55" t="s">
        <v>47</v>
      </c>
      <c r="C96" s="19">
        <v>2</v>
      </c>
      <c r="D96" s="19">
        <v>2</v>
      </c>
      <c r="E96" s="19">
        <v>2</v>
      </c>
      <c r="F96" s="19">
        <v>1</v>
      </c>
      <c r="G96" s="19">
        <v>1</v>
      </c>
      <c r="H96" s="19">
        <v>0</v>
      </c>
      <c r="I96" s="19">
        <f t="shared" si="18"/>
        <v>8</v>
      </c>
    </row>
    <row r="97" spans="1:52" ht="15" thickBot="1" x14ac:dyDescent="0.35">
      <c r="A97" s="5">
        <v>5</v>
      </c>
      <c r="B97" s="55" t="s">
        <v>48</v>
      </c>
      <c r="C97" s="19"/>
      <c r="D97" s="19"/>
      <c r="E97" s="19"/>
      <c r="F97" s="19"/>
      <c r="G97" s="19"/>
      <c r="H97" s="19"/>
      <c r="I97" s="19">
        <f t="shared" si="18"/>
        <v>0</v>
      </c>
    </row>
    <row r="98" spans="1:52" ht="15" thickBot="1" x14ac:dyDescent="0.35">
      <c r="A98" s="5">
        <v>6</v>
      </c>
      <c r="B98" s="55" t="s">
        <v>49</v>
      </c>
      <c r="C98" s="19">
        <v>2</v>
      </c>
      <c r="D98" s="19">
        <v>2</v>
      </c>
      <c r="E98" s="19">
        <v>2</v>
      </c>
      <c r="F98" s="19">
        <v>3</v>
      </c>
      <c r="G98" s="19">
        <v>3</v>
      </c>
      <c r="H98" s="19">
        <v>2</v>
      </c>
      <c r="I98" s="19">
        <f t="shared" si="18"/>
        <v>14</v>
      </c>
    </row>
    <row r="99" spans="1:52" ht="15" thickBot="1" x14ac:dyDescent="0.35">
      <c r="A99" s="5">
        <v>7</v>
      </c>
      <c r="B99" s="55" t="s">
        <v>50</v>
      </c>
      <c r="C99" s="24">
        <v>0</v>
      </c>
      <c r="D99" s="24">
        <v>0</v>
      </c>
      <c r="E99" s="24">
        <v>0</v>
      </c>
      <c r="F99" s="24">
        <v>0</v>
      </c>
      <c r="G99" s="24">
        <v>0</v>
      </c>
      <c r="H99" s="24">
        <v>0</v>
      </c>
      <c r="I99" s="19">
        <f t="shared" si="18"/>
        <v>0</v>
      </c>
    </row>
    <row r="100" spans="1:52" ht="15" thickBot="1" x14ac:dyDescent="0.35">
      <c r="A100" s="235" t="s">
        <v>10</v>
      </c>
      <c r="B100" s="236"/>
      <c r="C100" s="66">
        <f t="shared" ref="C100:I100" si="19">SUM(C93:C99)</f>
        <v>90</v>
      </c>
      <c r="D100" s="66">
        <f t="shared" si="19"/>
        <v>88</v>
      </c>
      <c r="E100" s="66">
        <f t="shared" si="19"/>
        <v>87</v>
      </c>
      <c r="F100" s="66">
        <f t="shared" si="19"/>
        <v>84</v>
      </c>
      <c r="G100" s="66">
        <f t="shared" si="19"/>
        <v>84</v>
      </c>
      <c r="H100" s="66">
        <f t="shared" si="19"/>
        <v>68</v>
      </c>
      <c r="I100" s="66">
        <f t="shared" si="19"/>
        <v>501</v>
      </c>
    </row>
    <row r="101" spans="1:52" x14ac:dyDescent="0.3">
      <c r="A101" s="1"/>
      <c r="C101" s="28"/>
      <c r="D101" s="28"/>
      <c r="E101" s="28"/>
      <c r="F101" s="28"/>
      <c r="G101" s="28"/>
      <c r="H101" s="28"/>
      <c r="I101" s="28"/>
    </row>
    <row r="102" spans="1:52" x14ac:dyDescent="0.3">
      <c r="A102" s="1" t="s">
        <v>37</v>
      </c>
    </row>
    <row r="103" spans="1:52" ht="15" thickBot="1" x14ac:dyDescent="0.35">
      <c r="A103" s="1"/>
    </row>
    <row r="104" spans="1:52" ht="57.6" x14ac:dyDescent="0.3">
      <c r="A104" s="59" t="s">
        <v>6</v>
      </c>
      <c r="B104" s="60" t="s">
        <v>18</v>
      </c>
      <c r="C104" s="227" t="s">
        <v>79</v>
      </c>
      <c r="D104" s="227"/>
      <c r="E104" s="227" t="s">
        <v>42</v>
      </c>
      <c r="F104" s="227"/>
      <c r="G104" s="227" t="s">
        <v>80</v>
      </c>
      <c r="H104" s="227"/>
      <c r="I104" s="227" t="s">
        <v>81</v>
      </c>
      <c r="J104" s="227"/>
      <c r="K104" s="227" t="s">
        <v>82</v>
      </c>
      <c r="L104" s="227"/>
      <c r="M104" s="227" t="s">
        <v>83</v>
      </c>
      <c r="N104" s="227"/>
      <c r="O104" s="227" t="s">
        <v>10</v>
      </c>
      <c r="P104" s="227"/>
      <c r="Q104" s="227"/>
    </row>
    <row r="105" spans="1:52" ht="15" thickBot="1" x14ac:dyDescent="0.35">
      <c r="A105" s="76"/>
      <c r="B105" s="75"/>
      <c r="C105" s="133" t="s">
        <v>29</v>
      </c>
      <c r="D105" s="133" t="s">
        <v>30</v>
      </c>
      <c r="E105" s="133" t="s">
        <v>29</v>
      </c>
      <c r="F105" s="133" t="s">
        <v>30</v>
      </c>
      <c r="G105" s="133" t="s">
        <v>29</v>
      </c>
      <c r="H105" s="133" t="s">
        <v>30</v>
      </c>
      <c r="I105" s="133" t="s">
        <v>29</v>
      </c>
      <c r="J105" s="133" t="s">
        <v>30</v>
      </c>
      <c r="K105" s="133" t="s">
        <v>29</v>
      </c>
      <c r="L105" s="133" t="s">
        <v>30</v>
      </c>
      <c r="M105" s="133" t="s">
        <v>29</v>
      </c>
      <c r="N105" s="133" t="s">
        <v>30</v>
      </c>
      <c r="O105" s="133" t="s">
        <v>29</v>
      </c>
      <c r="P105" s="133" t="s">
        <v>30</v>
      </c>
      <c r="Q105" s="133" t="s">
        <v>62</v>
      </c>
    </row>
    <row r="106" spans="1:52" ht="15" thickBot="1" x14ac:dyDescent="0.35">
      <c r="A106" s="130">
        <v>1</v>
      </c>
      <c r="B106" s="54" t="s">
        <v>44</v>
      </c>
      <c r="C106" s="19">
        <v>341</v>
      </c>
      <c r="D106" s="19">
        <v>272</v>
      </c>
      <c r="E106" s="19">
        <v>344</v>
      </c>
      <c r="F106" s="19">
        <v>208</v>
      </c>
      <c r="G106" s="19">
        <v>238</v>
      </c>
      <c r="H106" s="19">
        <v>163</v>
      </c>
      <c r="I106" s="19">
        <v>169</v>
      </c>
      <c r="J106" s="19">
        <v>125</v>
      </c>
      <c r="K106" s="19">
        <v>160</v>
      </c>
      <c r="L106" s="19">
        <v>105</v>
      </c>
      <c r="M106" s="19">
        <v>152</v>
      </c>
      <c r="N106" s="19">
        <v>82</v>
      </c>
      <c r="O106" s="20">
        <f>SUM(C106+E106+G106+I106+K106+M106)</f>
        <v>1404</v>
      </c>
      <c r="P106" s="20">
        <f>SUM(D106+F106+H106+J106+L106+N106)</f>
        <v>955</v>
      </c>
      <c r="Q106" s="20">
        <f>P106+O106</f>
        <v>2359</v>
      </c>
    </row>
    <row r="107" spans="1:52" ht="15" thickBot="1" x14ac:dyDescent="0.35">
      <c r="A107" s="130">
        <v>2</v>
      </c>
      <c r="B107" s="54" t="s">
        <v>45</v>
      </c>
      <c r="C107" s="19">
        <v>662</v>
      </c>
      <c r="D107" s="19">
        <v>515</v>
      </c>
      <c r="E107" s="19">
        <v>460</v>
      </c>
      <c r="F107" s="19">
        <v>373</v>
      </c>
      <c r="G107" s="19">
        <v>453</v>
      </c>
      <c r="H107" s="19">
        <v>346</v>
      </c>
      <c r="I107" s="19">
        <v>321</v>
      </c>
      <c r="J107" s="19">
        <v>200</v>
      </c>
      <c r="K107" s="19">
        <v>249</v>
      </c>
      <c r="L107" s="19">
        <v>143</v>
      </c>
      <c r="M107" s="19">
        <v>229</v>
      </c>
      <c r="N107" s="19">
        <v>120</v>
      </c>
      <c r="O107" s="20">
        <f t="shared" ref="O107:O112" si="20">SUM(C107+E107+G107+I107+K107+M107)</f>
        <v>2374</v>
      </c>
      <c r="P107" s="20">
        <f t="shared" ref="P107:P112" si="21">SUM(D107+F107+H107+J107+L107+N107)</f>
        <v>1697</v>
      </c>
      <c r="Q107" s="20">
        <f t="shared" ref="Q107:Q112" si="22">P107+O107</f>
        <v>4071</v>
      </c>
    </row>
    <row r="108" spans="1:52" ht="15" thickBot="1" x14ac:dyDescent="0.35">
      <c r="A108" s="130">
        <v>3</v>
      </c>
      <c r="B108" s="54" t="s">
        <v>46</v>
      </c>
      <c r="C108" s="19">
        <v>1300</v>
      </c>
      <c r="D108" s="19">
        <v>998</v>
      </c>
      <c r="E108" s="19">
        <v>977</v>
      </c>
      <c r="F108" s="19">
        <v>760</v>
      </c>
      <c r="G108" s="19">
        <v>812</v>
      </c>
      <c r="H108" s="19">
        <v>535</v>
      </c>
      <c r="I108" s="19">
        <v>631</v>
      </c>
      <c r="J108" s="19">
        <v>438</v>
      </c>
      <c r="K108" s="19">
        <v>435</v>
      </c>
      <c r="L108" s="19">
        <v>300</v>
      </c>
      <c r="M108" s="19">
        <v>401</v>
      </c>
      <c r="N108" s="19">
        <v>261</v>
      </c>
      <c r="O108" s="20">
        <f t="shared" si="20"/>
        <v>4556</v>
      </c>
      <c r="P108" s="20">
        <f t="shared" si="21"/>
        <v>3292</v>
      </c>
      <c r="Q108" s="20">
        <f t="shared" si="22"/>
        <v>7848</v>
      </c>
    </row>
    <row r="109" spans="1:52" ht="15" thickBot="1" x14ac:dyDescent="0.35">
      <c r="A109" s="116">
        <v>4</v>
      </c>
      <c r="B109" s="55" t="s">
        <v>47</v>
      </c>
      <c r="C109" s="19">
        <v>36</v>
      </c>
      <c r="D109" s="19">
        <v>22</v>
      </c>
      <c r="E109" s="19">
        <v>21</v>
      </c>
      <c r="F109" s="19">
        <v>8</v>
      </c>
      <c r="G109" s="19">
        <v>19</v>
      </c>
      <c r="H109" s="19">
        <v>9</v>
      </c>
      <c r="I109" s="19">
        <v>12</v>
      </c>
      <c r="J109" s="19">
        <v>4</v>
      </c>
      <c r="K109" s="19">
        <v>6</v>
      </c>
      <c r="L109" s="19">
        <v>4</v>
      </c>
      <c r="M109" s="19">
        <v>0</v>
      </c>
      <c r="N109" s="19">
        <v>0</v>
      </c>
      <c r="O109" s="20">
        <f t="shared" si="20"/>
        <v>94</v>
      </c>
      <c r="P109" s="20">
        <f t="shared" si="21"/>
        <v>47</v>
      </c>
      <c r="Q109" s="20">
        <f t="shared" si="22"/>
        <v>141</v>
      </c>
    </row>
    <row r="110" spans="1:52" ht="15" thickBot="1" x14ac:dyDescent="0.35">
      <c r="A110" s="116">
        <v>5</v>
      </c>
      <c r="B110" s="55" t="s">
        <v>48</v>
      </c>
      <c r="C110" s="19">
        <v>0</v>
      </c>
      <c r="D110" s="19">
        <v>0</v>
      </c>
      <c r="E110" s="19">
        <v>0</v>
      </c>
      <c r="F110" s="19">
        <v>0</v>
      </c>
      <c r="G110" s="19">
        <v>0</v>
      </c>
      <c r="H110" s="19">
        <v>0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20">
        <f t="shared" si="20"/>
        <v>0</v>
      </c>
      <c r="P110" s="20">
        <f t="shared" si="21"/>
        <v>0</v>
      </c>
      <c r="Q110" s="20">
        <f t="shared" si="22"/>
        <v>0</v>
      </c>
    </row>
    <row r="111" spans="1:52" ht="15" thickBot="1" x14ac:dyDescent="0.35">
      <c r="A111" s="116">
        <v>6</v>
      </c>
      <c r="B111" s="55" t="s">
        <v>49</v>
      </c>
      <c r="C111" s="19">
        <v>22</v>
      </c>
      <c r="D111" s="19">
        <v>33</v>
      </c>
      <c r="E111" s="19">
        <v>19</v>
      </c>
      <c r="F111" s="19">
        <v>25</v>
      </c>
      <c r="G111" s="19">
        <v>25</v>
      </c>
      <c r="H111" s="19">
        <v>30</v>
      </c>
      <c r="I111" s="19">
        <v>12</v>
      </c>
      <c r="J111" s="19">
        <v>33</v>
      </c>
      <c r="K111" s="19">
        <v>17</v>
      </c>
      <c r="L111" s="19">
        <v>29</v>
      </c>
      <c r="M111" s="19">
        <v>19</v>
      </c>
      <c r="N111" s="19">
        <v>23</v>
      </c>
      <c r="O111" s="20">
        <f t="shared" si="20"/>
        <v>114</v>
      </c>
      <c r="P111" s="20">
        <f t="shared" si="21"/>
        <v>173</v>
      </c>
      <c r="Q111" s="20">
        <f t="shared" si="22"/>
        <v>287</v>
      </c>
    </row>
    <row r="112" spans="1:52" ht="15" thickBot="1" x14ac:dyDescent="0.35">
      <c r="A112" s="116">
        <v>7</v>
      </c>
      <c r="B112" s="55" t="s">
        <v>50</v>
      </c>
      <c r="C112" s="24">
        <v>0</v>
      </c>
      <c r="D112" s="24">
        <v>0</v>
      </c>
      <c r="E112" s="24">
        <v>0</v>
      </c>
      <c r="F112" s="24">
        <v>0</v>
      </c>
      <c r="G112" s="24">
        <v>0</v>
      </c>
      <c r="H112" s="24">
        <v>0</v>
      </c>
      <c r="I112" s="24">
        <v>0</v>
      </c>
      <c r="J112" s="24">
        <v>0</v>
      </c>
      <c r="K112" s="24">
        <v>0</v>
      </c>
      <c r="L112" s="24">
        <v>0</v>
      </c>
      <c r="M112" s="24">
        <v>0</v>
      </c>
      <c r="N112" s="24">
        <v>0</v>
      </c>
      <c r="O112" s="20">
        <f t="shared" si="20"/>
        <v>0</v>
      </c>
      <c r="P112" s="20">
        <f t="shared" si="21"/>
        <v>0</v>
      </c>
      <c r="Q112" s="20">
        <f t="shared" si="22"/>
        <v>0</v>
      </c>
      <c r="AY112" s="20"/>
      <c r="AZ112" s="20"/>
    </row>
    <row r="113" spans="1:52" ht="15" thickBot="1" x14ac:dyDescent="0.35">
      <c r="A113" s="228" t="s">
        <v>10</v>
      </c>
      <c r="B113" s="229"/>
      <c r="C113" s="66">
        <f>SUM(C106:C112)</f>
        <v>2361</v>
      </c>
      <c r="D113" s="66">
        <f t="shared" ref="D113:O113" si="23">SUM(D106:D112)</f>
        <v>1840</v>
      </c>
      <c r="E113" s="66">
        <f t="shared" si="23"/>
        <v>1821</v>
      </c>
      <c r="F113" s="66">
        <f t="shared" si="23"/>
        <v>1374</v>
      </c>
      <c r="G113" s="66">
        <f t="shared" si="23"/>
        <v>1547</v>
      </c>
      <c r="H113" s="66">
        <f t="shared" si="23"/>
        <v>1083</v>
      </c>
      <c r="I113" s="66">
        <f t="shared" si="23"/>
        <v>1145</v>
      </c>
      <c r="J113" s="66">
        <f t="shared" si="23"/>
        <v>800</v>
      </c>
      <c r="K113" s="66">
        <f t="shared" si="23"/>
        <v>867</v>
      </c>
      <c r="L113" s="66">
        <f t="shared" si="23"/>
        <v>581</v>
      </c>
      <c r="M113" s="66">
        <f t="shared" si="23"/>
        <v>801</v>
      </c>
      <c r="N113" s="66">
        <f t="shared" si="23"/>
        <v>486</v>
      </c>
      <c r="O113" s="66">
        <f t="shared" si="23"/>
        <v>8542</v>
      </c>
      <c r="P113" s="66">
        <f>SUM(P106:P112)</f>
        <v>6164</v>
      </c>
      <c r="Q113" s="66">
        <f>SUM(Q106:Q112)</f>
        <v>14706</v>
      </c>
      <c r="AY113" s="14"/>
      <c r="AZ113" s="14"/>
    </row>
    <row r="114" spans="1:52" ht="15.6" customHeight="1" x14ac:dyDescent="0.3">
      <c r="B114" s="195" t="s">
        <v>110</v>
      </c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</row>
    <row r="115" spans="1:52" ht="14.4" customHeight="1" x14ac:dyDescent="0.3">
      <c r="B115" s="184" t="s">
        <v>111</v>
      </c>
      <c r="C115" s="181" t="s">
        <v>112</v>
      </c>
      <c r="D115" s="196" t="s">
        <v>113</v>
      </c>
      <c r="E115" s="197"/>
      <c r="F115" s="197"/>
      <c r="G115" s="197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8"/>
    </row>
    <row r="116" spans="1:52" ht="14.4" customHeight="1" x14ac:dyDescent="0.3">
      <c r="B116" s="184"/>
      <c r="C116" s="182"/>
      <c r="D116" s="184" t="s">
        <v>129</v>
      </c>
      <c r="E116" s="184"/>
      <c r="F116" s="184" t="s">
        <v>114</v>
      </c>
      <c r="G116" s="184"/>
      <c r="H116" s="184" t="s">
        <v>115</v>
      </c>
      <c r="I116" s="184"/>
      <c r="J116" s="184" t="s">
        <v>116</v>
      </c>
      <c r="K116" s="184"/>
      <c r="L116" s="184" t="s">
        <v>117</v>
      </c>
      <c r="M116" s="184"/>
      <c r="N116" s="184" t="s">
        <v>118</v>
      </c>
      <c r="O116" s="184"/>
      <c r="P116" s="184" t="s">
        <v>10</v>
      </c>
      <c r="Q116" s="184"/>
      <c r="R116" s="184"/>
    </row>
    <row r="117" spans="1:52" ht="14.4" customHeight="1" x14ac:dyDescent="0.3">
      <c r="B117" s="184"/>
      <c r="C117" s="182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</row>
    <row r="118" spans="1:52" ht="15.6" x14ac:dyDescent="0.3">
      <c r="B118" s="184"/>
      <c r="C118" s="183"/>
      <c r="D118" s="164" t="s">
        <v>29</v>
      </c>
      <c r="E118" s="164" t="s">
        <v>30</v>
      </c>
      <c r="F118" s="164" t="s">
        <v>29</v>
      </c>
      <c r="G118" s="164" t="s">
        <v>30</v>
      </c>
      <c r="H118" s="164" t="s">
        <v>29</v>
      </c>
      <c r="I118" s="164" t="s">
        <v>30</v>
      </c>
      <c r="J118" s="164" t="s">
        <v>29</v>
      </c>
      <c r="K118" s="164" t="s">
        <v>30</v>
      </c>
      <c r="L118" s="164" t="s">
        <v>29</v>
      </c>
      <c r="M118" s="164" t="s">
        <v>30</v>
      </c>
      <c r="N118" s="164" t="s">
        <v>29</v>
      </c>
      <c r="O118" s="164" t="s">
        <v>30</v>
      </c>
      <c r="P118" s="164" t="s">
        <v>29</v>
      </c>
      <c r="Q118" s="164" t="s">
        <v>30</v>
      </c>
      <c r="R118" s="164" t="s">
        <v>54</v>
      </c>
    </row>
    <row r="119" spans="1:52" ht="15.6" x14ac:dyDescent="0.3">
      <c r="B119" s="181" t="s">
        <v>44</v>
      </c>
      <c r="C119" s="164" t="s">
        <v>119</v>
      </c>
      <c r="D119" s="164">
        <f>C106</f>
        <v>341</v>
      </c>
      <c r="E119" s="164">
        <f t="shared" ref="E119:G119" si="24">D106</f>
        <v>272</v>
      </c>
      <c r="F119" s="164">
        <f t="shared" si="24"/>
        <v>344</v>
      </c>
      <c r="G119" s="164">
        <f t="shared" si="24"/>
        <v>208</v>
      </c>
      <c r="H119" s="164"/>
      <c r="I119" s="164"/>
      <c r="J119" s="164"/>
      <c r="K119" s="164"/>
      <c r="L119" s="164"/>
      <c r="M119" s="164"/>
      <c r="N119" s="164"/>
      <c r="O119" s="164"/>
      <c r="P119" s="164">
        <f>N119+L119+J119+H119+F119+D119</f>
        <v>685</v>
      </c>
      <c r="Q119" s="164">
        <f>O119+M119+K119+I119+G119+E119</f>
        <v>480</v>
      </c>
      <c r="R119" s="164">
        <f>Q119+P119</f>
        <v>1165</v>
      </c>
    </row>
    <row r="120" spans="1:52" ht="15.6" x14ac:dyDescent="0.3">
      <c r="B120" s="182"/>
      <c r="C120" s="164" t="s">
        <v>120</v>
      </c>
      <c r="D120" s="164"/>
      <c r="E120" s="164"/>
      <c r="F120" s="164"/>
      <c r="G120" s="164"/>
      <c r="H120" s="164">
        <f>G106-H121</f>
        <v>215</v>
      </c>
      <c r="I120" s="164">
        <f t="shared" ref="I120:O120" si="25">H106-I121</f>
        <v>151</v>
      </c>
      <c r="J120" s="164">
        <f t="shared" si="25"/>
        <v>157</v>
      </c>
      <c r="K120" s="164">
        <f t="shared" si="25"/>
        <v>123</v>
      </c>
      <c r="L120" s="164">
        <f t="shared" si="25"/>
        <v>145</v>
      </c>
      <c r="M120" s="164">
        <f t="shared" si="25"/>
        <v>102</v>
      </c>
      <c r="N120" s="164">
        <f t="shared" si="25"/>
        <v>144</v>
      </c>
      <c r="O120" s="164">
        <f t="shared" si="25"/>
        <v>78</v>
      </c>
      <c r="P120" s="164">
        <f t="shared" ref="P120:Q163" si="26">N120+L120+J120+H120+F120+D120</f>
        <v>661</v>
      </c>
      <c r="Q120" s="164">
        <f t="shared" si="26"/>
        <v>454</v>
      </c>
      <c r="R120" s="164">
        <f t="shared" ref="R120:R163" si="27">Q120+P120</f>
        <v>1115</v>
      </c>
    </row>
    <row r="121" spans="1:52" ht="15.6" x14ac:dyDescent="0.3">
      <c r="B121" s="182"/>
      <c r="C121" s="164" t="s">
        <v>121</v>
      </c>
      <c r="D121" s="164"/>
      <c r="E121" s="164"/>
      <c r="F121" s="164"/>
      <c r="G121" s="164"/>
      <c r="H121" s="164">
        <v>23</v>
      </c>
      <c r="I121" s="164">
        <v>12</v>
      </c>
      <c r="J121" s="164">
        <v>12</v>
      </c>
      <c r="K121" s="164">
        <v>2</v>
      </c>
      <c r="L121" s="164">
        <v>15</v>
      </c>
      <c r="M121" s="164">
        <v>3</v>
      </c>
      <c r="N121" s="164">
        <v>8</v>
      </c>
      <c r="O121" s="164">
        <v>4</v>
      </c>
      <c r="P121" s="164">
        <f t="shared" si="26"/>
        <v>58</v>
      </c>
      <c r="Q121" s="164">
        <f t="shared" si="26"/>
        <v>21</v>
      </c>
      <c r="R121" s="164">
        <f t="shared" si="27"/>
        <v>79</v>
      </c>
    </row>
    <row r="122" spans="1:52" ht="15.6" x14ac:dyDescent="0.3">
      <c r="B122" s="182"/>
      <c r="C122" s="164" t="s">
        <v>122</v>
      </c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>
        <f t="shared" si="26"/>
        <v>0</v>
      </c>
      <c r="Q122" s="164">
        <f t="shared" si="26"/>
        <v>0</v>
      </c>
      <c r="R122" s="164">
        <f t="shared" si="27"/>
        <v>0</v>
      </c>
    </row>
    <row r="123" spans="1:52" ht="31.2" x14ac:dyDescent="0.3">
      <c r="B123" s="183"/>
      <c r="C123" s="164" t="s">
        <v>123</v>
      </c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>
        <f t="shared" si="26"/>
        <v>0</v>
      </c>
      <c r="Q123" s="164">
        <f t="shared" si="26"/>
        <v>0</v>
      </c>
      <c r="R123" s="164">
        <f t="shared" si="27"/>
        <v>0</v>
      </c>
    </row>
    <row r="124" spans="1:52" ht="15.6" x14ac:dyDescent="0.3">
      <c r="B124" s="181" t="s">
        <v>45</v>
      </c>
      <c r="C124" s="164" t="s">
        <v>119</v>
      </c>
      <c r="D124" s="164">
        <f>C107</f>
        <v>662</v>
      </c>
      <c r="E124" s="164">
        <f t="shared" ref="E124:G124" si="28">D107</f>
        <v>515</v>
      </c>
      <c r="F124" s="164">
        <f t="shared" si="28"/>
        <v>460</v>
      </c>
      <c r="G124" s="164">
        <f t="shared" si="28"/>
        <v>373</v>
      </c>
      <c r="H124" s="164"/>
      <c r="I124" s="164"/>
      <c r="J124" s="164"/>
      <c r="K124" s="164"/>
      <c r="L124" s="164"/>
      <c r="M124" s="164"/>
      <c r="N124" s="164"/>
      <c r="O124" s="164"/>
      <c r="P124" s="164">
        <f t="shared" si="26"/>
        <v>1122</v>
      </c>
      <c r="Q124" s="164">
        <f t="shared" si="26"/>
        <v>888</v>
      </c>
      <c r="R124" s="164">
        <f t="shared" si="27"/>
        <v>2010</v>
      </c>
    </row>
    <row r="125" spans="1:52" ht="15.6" x14ac:dyDescent="0.3">
      <c r="B125" s="182"/>
      <c r="C125" s="164" t="s">
        <v>120</v>
      </c>
      <c r="D125" s="164"/>
      <c r="E125" s="164"/>
      <c r="F125" s="164"/>
      <c r="G125" s="164"/>
      <c r="H125" s="164">
        <f t="shared" ref="H125:O125" si="29">G107-H126</f>
        <v>441</v>
      </c>
      <c r="I125" s="164">
        <f t="shared" si="29"/>
        <v>341</v>
      </c>
      <c r="J125" s="164">
        <f t="shared" si="29"/>
        <v>318</v>
      </c>
      <c r="K125" s="164">
        <f t="shared" si="29"/>
        <v>198</v>
      </c>
      <c r="L125" s="164">
        <f t="shared" si="29"/>
        <v>244</v>
      </c>
      <c r="M125" s="164">
        <f t="shared" si="29"/>
        <v>141</v>
      </c>
      <c r="N125" s="164">
        <f t="shared" si="29"/>
        <v>224</v>
      </c>
      <c r="O125" s="164">
        <f t="shared" si="29"/>
        <v>117</v>
      </c>
      <c r="P125" s="164">
        <f t="shared" si="26"/>
        <v>1227</v>
      </c>
      <c r="Q125" s="164">
        <f t="shared" si="26"/>
        <v>797</v>
      </c>
      <c r="R125" s="164">
        <f t="shared" si="27"/>
        <v>2024</v>
      </c>
    </row>
    <row r="126" spans="1:52" ht="15.6" x14ac:dyDescent="0.3">
      <c r="B126" s="182"/>
      <c r="C126" s="164" t="s">
        <v>121</v>
      </c>
      <c r="D126" s="164"/>
      <c r="E126" s="164"/>
      <c r="F126" s="164"/>
      <c r="G126" s="164"/>
      <c r="H126" s="164">
        <v>12</v>
      </c>
      <c r="I126" s="164">
        <v>5</v>
      </c>
      <c r="J126" s="164">
        <v>3</v>
      </c>
      <c r="K126" s="164">
        <v>2</v>
      </c>
      <c r="L126" s="164">
        <v>5</v>
      </c>
      <c r="M126" s="164">
        <v>2</v>
      </c>
      <c r="N126" s="164">
        <v>5</v>
      </c>
      <c r="O126" s="164">
        <v>3</v>
      </c>
      <c r="P126" s="164">
        <f t="shared" si="26"/>
        <v>25</v>
      </c>
      <c r="Q126" s="164">
        <f t="shared" si="26"/>
        <v>12</v>
      </c>
      <c r="R126" s="164">
        <f t="shared" si="27"/>
        <v>37</v>
      </c>
    </row>
    <row r="127" spans="1:52" ht="15.6" x14ac:dyDescent="0.3">
      <c r="B127" s="182"/>
      <c r="C127" s="164" t="s">
        <v>122</v>
      </c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>
        <f t="shared" si="26"/>
        <v>0</v>
      </c>
      <c r="Q127" s="164">
        <f t="shared" si="26"/>
        <v>0</v>
      </c>
      <c r="R127" s="164">
        <f t="shared" si="27"/>
        <v>0</v>
      </c>
    </row>
    <row r="128" spans="1:52" ht="31.2" x14ac:dyDescent="0.3">
      <c r="B128" s="183"/>
      <c r="C128" s="164" t="s">
        <v>123</v>
      </c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>
        <f t="shared" si="26"/>
        <v>0</v>
      </c>
      <c r="Q128" s="164">
        <f t="shared" si="26"/>
        <v>0</v>
      </c>
      <c r="R128" s="164">
        <f t="shared" si="27"/>
        <v>0</v>
      </c>
    </row>
    <row r="129" spans="2:18" ht="15.6" x14ac:dyDescent="0.3">
      <c r="B129" s="181" t="s">
        <v>46</v>
      </c>
      <c r="C129" s="164" t="s">
        <v>119</v>
      </c>
      <c r="D129" s="164">
        <f>C108</f>
        <v>1300</v>
      </c>
      <c r="E129" s="164">
        <f t="shared" ref="E129:G129" si="30">D108</f>
        <v>998</v>
      </c>
      <c r="F129" s="164">
        <f t="shared" si="30"/>
        <v>977</v>
      </c>
      <c r="G129" s="164">
        <f t="shared" si="30"/>
        <v>760</v>
      </c>
      <c r="H129" s="164"/>
      <c r="I129" s="164"/>
      <c r="J129" s="164"/>
      <c r="K129" s="164"/>
      <c r="L129" s="164"/>
      <c r="M129" s="164"/>
      <c r="N129" s="164"/>
      <c r="O129" s="164"/>
      <c r="P129" s="164">
        <f t="shared" si="26"/>
        <v>2277</v>
      </c>
      <c r="Q129" s="164">
        <f t="shared" si="26"/>
        <v>1758</v>
      </c>
      <c r="R129" s="164">
        <f t="shared" si="27"/>
        <v>4035</v>
      </c>
    </row>
    <row r="130" spans="2:18" ht="15.6" x14ac:dyDescent="0.3">
      <c r="B130" s="182"/>
      <c r="C130" s="164" t="s">
        <v>120</v>
      </c>
      <c r="D130" s="164"/>
      <c r="E130" s="164"/>
      <c r="F130" s="164"/>
      <c r="G130" s="164"/>
      <c r="H130" s="164">
        <f>G108</f>
        <v>812</v>
      </c>
      <c r="I130" s="164">
        <f t="shared" ref="I130:O130" si="31">H108</f>
        <v>535</v>
      </c>
      <c r="J130" s="164">
        <f t="shared" si="31"/>
        <v>631</v>
      </c>
      <c r="K130" s="164">
        <f t="shared" si="31"/>
        <v>438</v>
      </c>
      <c r="L130" s="164">
        <f t="shared" si="31"/>
        <v>435</v>
      </c>
      <c r="M130" s="164">
        <f t="shared" si="31"/>
        <v>300</v>
      </c>
      <c r="N130" s="164">
        <f t="shared" si="31"/>
        <v>401</v>
      </c>
      <c r="O130" s="164">
        <f t="shared" si="31"/>
        <v>261</v>
      </c>
      <c r="P130" s="164">
        <f t="shared" si="26"/>
        <v>2279</v>
      </c>
      <c r="Q130" s="164">
        <f t="shared" si="26"/>
        <v>1534</v>
      </c>
      <c r="R130" s="164">
        <f t="shared" si="27"/>
        <v>3813</v>
      </c>
    </row>
    <row r="131" spans="2:18" ht="15.6" x14ac:dyDescent="0.3">
      <c r="B131" s="182"/>
      <c r="C131" s="164" t="s">
        <v>121</v>
      </c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>
        <f t="shared" si="26"/>
        <v>0</v>
      </c>
      <c r="Q131" s="164">
        <f t="shared" si="26"/>
        <v>0</v>
      </c>
      <c r="R131" s="164">
        <f t="shared" si="27"/>
        <v>0</v>
      </c>
    </row>
    <row r="132" spans="2:18" ht="15.6" x14ac:dyDescent="0.3">
      <c r="B132" s="182"/>
      <c r="C132" s="164" t="s">
        <v>122</v>
      </c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>
        <f t="shared" si="26"/>
        <v>0</v>
      </c>
      <c r="Q132" s="164">
        <f t="shared" si="26"/>
        <v>0</v>
      </c>
      <c r="R132" s="164">
        <f t="shared" si="27"/>
        <v>0</v>
      </c>
    </row>
    <row r="133" spans="2:18" ht="31.2" x14ac:dyDescent="0.3">
      <c r="B133" s="183"/>
      <c r="C133" s="164" t="s">
        <v>123</v>
      </c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>
        <f t="shared" si="26"/>
        <v>0</v>
      </c>
      <c r="Q133" s="164">
        <f t="shared" si="26"/>
        <v>0</v>
      </c>
      <c r="R133" s="164">
        <f t="shared" si="27"/>
        <v>0</v>
      </c>
    </row>
    <row r="134" spans="2:18" ht="15.6" x14ac:dyDescent="0.3">
      <c r="B134" s="181" t="s">
        <v>47</v>
      </c>
      <c r="C134" s="164" t="s">
        <v>119</v>
      </c>
      <c r="D134" s="164">
        <f>C109</f>
        <v>36</v>
      </c>
      <c r="E134" s="164">
        <f t="shared" ref="E134:G134" si="32">D109</f>
        <v>22</v>
      </c>
      <c r="F134" s="164">
        <f t="shared" si="32"/>
        <v>21</v>
      </c>
      <c r="G134" s="164">
        <f t="shared" si="32"/>
        <v>8</v>
      </c>
      <c r="H134" s="164"/>
      <c r="I134" s="164"/>
      <c r="J134" s="164"/>
      <c r="K134" s="164"/>
      <c r="L134" s="164"/>
      <c r="M134" s="164"/>
      <c r="N134" s="164"/>
      <c r="O134" s="164"/>
      <c r="P134" s="164">
        <f t="shared" si="26"/>
        <v>57</v>
      </c>
      <c r="Q134" s="164">
        <f t="shared" si="26"/>
        <v>30</v>
      </c>
      <c r="R134" s="164">
        <f t="shared" si="27"/>
        <v>87</v>
      </c>
    </row>
    <row r="135" spans="2:18" ht="15.6" x14ac:dyDescent="0.3">
      <c r="B135" s="182"/>
      <c r="C135" s="164" t="s">
        <v>120</v>
      </c>
      <c r="D135" s="164"/>
      <c r="E135" s="164"/>
      <c r="F135" s="164"/>
      <c r="G135" s="164"/>
      <c r="H135" s="164">
        <f>G109</f>
        <v>19</v>
      </c>
      <c r="I135" s="164">
        <f t="shared" ref="I135:O135" si="33">H109</f>
        <v>9</v>
      </c>
      <c r="J135" s="164">
        <f t="shared" si="33"/>
        <v>12</v>
      </c>
      <c r="K135" s="164">
        <f t="shared" si="33"/>
        <v>4</v>
      </c>
      <c r="L135" s="164">
        <f t="shared" si="33"/>
        <v>6</v>
      </c>
      <c r="M135" s="164">
        <f t="shared" si="33"/>
        <v>4</v>
      </c>
      <c r="N135" s="164">
        <f t="shared" si="33"/>
        <v>0</v>
      </c>
      <c r="O135" s="164">
        <f t="shared" si="33"/>
        <v>0</v>
      </c>
      <c r="P135" s="164">
        <f t="shared" si="26"/>
        <v>37</v>
      </c>
      <c r="Q135" s="164">
        <f t="shared" si="26"/>
        <v>17</v>
      </c>
      <c r="R135" s="164">
        <f t="shared" si="27"/>
        <v>54</v>
      </c>
    </row>
    <row r="136" spans="2:18" ht="15.6" x14ac:dyDescent="0.3">
      <c r="B136" s="182"/>
      <c r="C136" s="164" t="s">
        <v>121</v>
      </c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>
        <f t="shared" si="26"/>
        <v>0</v>
      </c>
      <c r="Q136" s="164">
        <f t="shared" si="26"/>
        <v>0</v>
      </c>
      <c r="R136" s="164">
        <f t="shared" si="27"/>
        <v>0</v>
      </c>
    </row>
    <row r="137" spans="2:18" ht="15.6" x14ac:dyDescent="0.3">
      <c r="B137" s="182"/>
      <c r="C137" s="164" t="s">
        <v>122</v>
      </c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>
        <f t="shared" si="26"/>
        <v>0</v>
      </c>
      <c r="Q137" s="164">
        <f t="shared" si="26"/>
        <v>0</v>
      </c>
      <c r="R137" s="164">
        <f t="shared" si="27"/>
        <v>0</v>
      </c>
    </row>
    <row r="138" spans="2:18" ht="31.2" x14ac:dyDescent="0.3">
      <c r="B138" s="183"/>
      <c r="C138" s="164" t="s">
        <v>123</v>
      </c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>
        <f t="shared" si="26"/>
        <v>0</v>
      </c>
      <c r="Q138" s="164">
        <f t="shared" si="26"/>
        <v>0</v>
      </c>
      <c r="R138" s="164">
        <f t="shared" si="27"/>
        <v>0</v>
      </c>
    </row>
    <row r="139" spans="2:18" ht="15.6" x14ac:dyDescent="0.3">
      <c r="B139" s="185" t="s">
        <v>124</v>
      </c>
      <c r="C139" s="165" t="s">
        <v>119</v>
      </c>
      <c r="D139" s="165"/>
      <c r="E139" s="165"/>
      <c r="F139" s="165"/>
      <c r="G139" s="165"/>
      <c r="H139" s="165"/>
      <c r="I139" s="165"/>
      <c r="J139" s="165"/>
      <c r="K139" s="165"/>
      <c r="L139" s="165"/>
      <c r="M139" s="165"/>
      <c r="N139" s="165"/>
      <c r="O139" s="165"/>
      <c r="P139" s="165">
        <f t="shared" si="26"/>
        <v>0</v>
      </c>
      <c r="Q139" s="165">
        <f t="shared" si="26"/>
        <v>0</v>
      </c>
      <c r="R139" s="165">
        <f t="shared" si="27"/>
        <v>0</v>
      </c>
    </row>
    <row r="140" spans="2:18" ht="15.6" x14ac:dyDescent="0.3">
      <c r="B140" s="186"/>
      <c r="C140" s="165" t="s">
        <v>120</v>
      </c>
      <c r="D140" s="165"/>
      <c r="E140" s="165"/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65">
        <f t="shared" si="26"/>
        <v>0</v>
      </c>
      <c r="Q140" s="165">
        <f t="shared" si="26"/>
        <v>0</v>
      </c>
      <c r="R140" s="165">
        <f t="shared" si="27"/>
        <v>0</v>
      </c>
    </row>
    <row r="141" spans="2:18" ht="15.6" x14ac:dyDescent="0.3">
      <c r="B141" s="186"/>
      <c r="C141" s="165" t="s">
        <v>121</v>
      </c>
      <c r="D141" s="165"/>
      <c r="E141" s="165"/>
      <c r="F141" s="165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>
        <f t="shared" si="26"/>
        <v>0</v>
      </c>
      <c r="Q141" s="165">
        <f t="shared" si="26"/>
        <v>0</v>
      </c>
      <c r="R141" s="165">
        <f t="shared" si="27"/>
        <v>0</v>
      </c>
    </row>
    <row r="142" spans="2:18" ht="15.6" x14ac:dyDescent="0.3">
      <c r="B142" s="186"/>
      <c r="C142" s="165" t="s">
        <v>122</v>
      </c>
      <c r="D142" s="165"/>
      <c r="E142" s="165"/>
      <c r="F142" s="165"/>
      <c r="G142" s="165"/>
      <c r="H142" s="165"/>
      <c r="I142" s="165"/>
      <c r="J142" s="165"/>
      <c r="K142" s="165"/>
      <c r="L142" s="165"/>
      <c r="M142" s="165"/>
      <c r="N142" s="165"/>
      <c r="O142" s="165"/>
      <c r="P142" s="165">
        <f t="shared" si="26"/>
        <v>0</v>
      </c>
      <c r="Q142" s="165">
        <f t="shared" si="26"/>
        <v>0</v>
      </c>
      <c r="R142" s="165">
        <f t="shared" si="27"/>
        <v>0</v>
      </c>
    </row>
    <row r="143" spans="2:18" ht="31.2" x14ac:dyDescent="0.3">
      <c r="B143" s="187"/>
      <c r="C143" s="165" t="s">
        <v>123</v>
      </c>
      <c r="D143" s="165"/>
      <c r="E143" s="165"/>
      <c r="F143" s="165"/>
      <c r="G143" s="165"/>
      <c r="H143" s="165"/>
      <c r="I143" s="165"/>
      <c r="J143" s="165"/>
      <c r="K143" s="165"/>
      <c r="L143" s="165"/>
      <c r="M143" s="165"/>
      <c r="N143" s="165"/>
      <c r="O143" s="165"/>
      <c r="P143" s="165">
        <f t="shared" si="26"/>
        <v>0</v>
      </c>
      <c r="Q143" s="165">
        <f t="shared" si="26"/>
        <v>0</v>
      </c>
      <c r="R143" s="165">
        <f t="shared" si="27"/>
        <v>0</v>
      </c>
    </row>
    <row r="144" spans="2:18" ht="15.6" x14ac:dyDescent="0.3">
      <c r="B144" s="185" t="s">
        <v>125</v>
      </c>
      <c r="C144" s="165" t="s">
        <v>119</v>
      </c>
      <c r="D144" s="165"/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65">
        <f t="shared" si="26"/>
        <v>0</v>
      </c>
      <c r="Q144" s="165">
        <f t="shared" si="26"/>
        <v>0</v>
      </c>
      <c r="R144" s="165">
        <f t="shared" si="27"/>
        <v>0</v>
      </c>
    </row>
    <row r="145" spans="2:18" ht="15.6" x14ac:dyDescent="0.3">
      <c r="B145" s="186"/>
      <c r="C145" s="165" t="s">
        <v>120</v>
      </c>
      <c r="D145" s="165"/>
      <c r="E145" s="165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165">
        <f t="shared" si="26"/>
        <v>0</v>
      </c>
      <c r="Q145" s="165">
        <f t="shared" si="26"/>
        <v>0</v>
      </c>
      <c r="R145" s="165">
        <f t="shared" si="27"/>
        <v>0</v>
      </c>
    </row>
    <row r="146" spans="2:18" ht="15.6" x14ac:dyDescent="0.3">
      <c r="B146" s="186"/>
      <c r="C146" s="165" t="s">
        <v>121</v>
      </c>
      <c r="D146" s="165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>
        <f t="shared" si="26"/>
        <v>0</v>
      </c>
      <c r="Q146" s="165">
        <f t="shared" si="26"/>
        <v>0</v>
      </c>
      <c r="R146" s="165">
        <f t="shared" si="27"/>
        <v>0</v>
      </c>
    </row>
    <row r="147" spans="2:18" ht="15.6" x14ac:dyDescent="0.3">
      <c r="B147" s="186"/>
      <c r="C147" s="165" t="s">
        <v>122</v>
      </c>
      <c r="D147" s="165"/>
      <c r="E147" s="165"/>
      <c r="F147" s="165"/>
      <c r="G147" s="165"/>
      <c r="H147" s="165"/>
      <c r="I147" s="165"/>
      <c r="J147" s="165"/>
      <c r="K147" s="165"/>
      <c r="L147" s="165"/>
      <c r="M147" s="165"/>
      <c r="N147" s="165"/>
      <c r="O147" s="165"/>
      <c r="P147" s="165">
        <f t="shared" si="26"/>
        <v>0</v>
      </c>
      <c r="Q147" s="165">
        <f t="shared" si="26"/>
        <v>0</v>
      </c>
      <c r="R147" s="165">
        <f t="shared" si="27"/>
        <v>0</v>
      </c>
    </row>
    <row r="148" spans="2:18" ht="31.2" x14ac:dyDescent="0.3">
      <c r="B148" s="187"/>
      <c r="C148" s="165" t="s">
        <v>123</v>
      </c>
      <c r="D148" s="165"/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165">
        <f t="shared" si="26"/>
        <v>0</v>
      </c>
      <c r="Q148" s="165">
        <f t="shared" si="26"/>
        <v>0</v>
      </c>
      <c r="R148" s="165">
        <f t="shared" si="27"/>
        <v>0</v>
      </c>
    </row>
    <row r="149" spans="2:18" ht="15.6" x14ac:dyDescent="0.3">
      <c r="B149" s="185" t="s">
        <v>126</v>
      </c>
      <c r="C149" s="165" t="s">
        <v>119</v>
      </c>
      <c r="D149" s="165"/>
      <c r="E149" s="165"/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165">
        <f t="shared" si="26"/>
        <v>0</v>
      </c>
      <c r="Q149" s="165">
        <f t="shared" si="26"/>
        <v>0</v>
      </c>
      <c r="R149" s="165">
        <f t="shared" si="27"/>
        <v>0</v>
      </c>
    </row>
    <row r="150" spans="2:18" ht="15.6" x14ac:dyDescent="0.3">
      <c r="B150" s="186"/>
      <c r="C150" s="165" t="s">
        <v>120</v>
      </c>
      <c r="D150" s="165"/>
      <c r="E150" s="165"/>
      <c r="F150" s="165"/>
      <c r="G150" s="165"/>
      <c r="H150" s="165"/>
      <c r="I150" s="165"/>
      <c r="J150" s="165"/>
      <c r="K150" s="165"/>
      <c r="L150" s="165"/>
      <c r="M150" s="165"/>
      <c r="N150" s="165"/>
      <c r="O150" s="165"/>
      <c r="P150" s="165">
        <f t="shared" si="26"/>
        <v>0</v>
      </c>
      <c r="Q150" s="165">
        <f t="shared" si="26"/>
        <v>0</v>
      </c>
      <c r="R150" s="165">
        <f t="shared" si="27"/>
        <v>0</v>
      </c>
    </row>
    <row r="151" spans="2:18" ht="15.6" x14ac:dyDescent="0.3">
      <c r="B151" s="186"/>
      <c r="C151" s="165" t="s">
        <v>121</v>
      </c>
      <c r="D151" s="165"/>
      <c r="E151" s="165"/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165">
        <f t="shared" si="26"/>
        <v>0</v>
      </c>
      <c r="Q151" s="165">
        <f t="shared" si="26"/>
        <v>0</v>
      </c>
      <c r="R151" s="165">
        <f t="shared" si="27"/>
        <v>0</v>
      </c>
    </row>
    <row r="152" spans="2:18" ht="15.6" x14ac:dyDescent="0.3">
      <c r="B152" s="186"/>
      <c r="C152" s="165" t="s">
        <v>122</v>
      </c>
      <c r="D152" s="165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165">
        <f t="shared" si="26"/>
        <v>0</v>
      </c>
      <c r="Q152" s="165">
        <f t="shared" si="26"/>
        <v>0</v>
      </c>
      <c r="R152" s="165">
        <f t="shared" si="27"/>
        <v>0</v>
      </c>
    </row>
    <row r="153" spans="2:18" ht="31.2" x14ac:dyDescent="0.3">
      <c r="B153" s="187"/>
      <c r="C153" s="165" t="s">
        <v>123</v>
      </c>
      <c r="D153" s="165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>
        <f t="shared" si="26"/>
        <v>0</v>
      </c>
      <c r="Q153" s="165">
        <f t="shared" si="26"/>
        <v>0</v>
      </c>
      <c r="R153" s="165">
        <f t="shared" si="27"/>
        <v>0</v>
      </c>
    </row>
    <row r="154" spans="2:18" ht="15.6" x14ac:dyDescent="0.3">
      <c r="B154" s="181" t="s">
        <v>127</v>
      </c>
      <c r="C154" s="164" t="s">
        <v>119</v>
      </c>
      <c r="D154" s="164">
        <f>C112</f>
        <v>0</v>
      </c>
      <c r="E154" s="164">
        <f t="shared" ref="E154:G154" si="34">D112</f>
        <v>0</v>
      </c>
      <c r="F154" s="164">
        <f t="shared" si="34"/>
        <v>0</v>
      </c>
      <c r="G154" s="164">
        <f t="shared" si="34"/>
        <v>0</v>
      </c>
      <c r="H154" s="164"/>
      <c r="I154" s="164"/>
      <c r="J154" s="164"/>
      <c r="K154" s="164"/>
      <c r="L154" s="164"/>
      <c r="M154" s="164"/>
      <c r="N154" s="164"/>
      <c r="O154" s="164"/>
      <c r="P154" s="164">
        <f t="shared" si="26"/>
        <v>0</v>
      </c>
      <c r="Q154" s="164">
        <f t="shared" si="26"/>
        <v>0</v>
      </c>
      <c r="R154" s="164">
        <f t="shared" si="27"/>
        <v>0</v>
      </c>
    </row>
    <row r="155" spans="2:18" ht="15.6" x14ac:dyDescent="0.3">
      <c r="B155" s="182"/>
      <c r="C155" s="164" t="s">
        <v>120</v>
      </c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>
        <f t="shared" si="26"/>
        <v>0</v>
      </c>
      <c r="Q155" s="164">
        <f t="shared" si="26"/>
        <v>0</v>
      </c>
      <c r="R155" s="164">
        <f t="shared" si="27"/>
        <v>0</v>
      </c>
    </row>
    <row r="156" spans="2:18" ht="15.6" x14ac:dyDescent="0.3">
      <c r="B156" s="182"/>
      <c r="C156" s="164" t="s">
        <v>121</v>
      </c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>
        <f t="shared" si="26"/>
        <v>0</v>
      </c>
      <c r="Q156" s="164">
        <f t="shared" si="26"/>
        <v>0</v>
      </c>
      <c r="R156" s="164">
        <f t="shared" si="27"/>
        <v>0</v>
      </c>
    </row>
    <row r="157" spans="2:18" ht="15.6" x14ac:dyDescent="0.3">
      <c r="B157" s="182"/>
      <c r="C157" s="164" t="s">
        <v>122</v>
      </c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>
        <f t="shared" si="26"/>
        <v>0</v>
      </c>
      <c r="Q157" s="164">
        <f t="shared" si="26"/>
        <v>0</v>
      </c>
      <c r="R157" s="164">
        <f t="shared" si="27"/>
        <v>0</v>
      </c>
    </row>
    <row r="158" spans="2:18" ht="31.2" x14ac:dyDescent="0.3">
      <c r="B158" s="183"/>
      <c r="C158" s="164" t="s">
        <v>123</v>
      </c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>
        <f t="shared" si="26"/>
        <v>0</v>
      </c>
      <c r="Q158" s="164">
        <f t="shared" si="26"/>
        <v>0</v>
      </c>
      <c r="R158" s="164">
        <f t="shared" si="27"/>
        <v>0</v>
      </c>
    </row>
    <row r="159" spans="2:18" ht="15.6" x14ac:dyDescent="0.3">
      <c r="B159" s="181" t="s">
        <v>128</v>
      </c>
      <c r="C159" s="164" t="s">
        <v>119</v>
      </c>
      <c r="D159" s="164">
        <f>C110+C111</f>
        <v>22</v>
      </c>
      <c r="E159" s="164">
        <f t="shared" ref="E159:G159" si="35">D110+D111</f>
        <v>33</v>
      </c>
      <c r="F159" s="164">
        <f t="shared" si="35"/>
        <v>19</v>
      </c>
      <c r="G159" s="164">
        <f t="shared" si="35"/>
        <v>25</v>
      </c>
      <c r="H159" s="164"/>
      <c r="I159" s="164"/>
      <c r="J159" s="164"/>
      <c r="K159" s="164"/>
      <c r="L159" s="164"/>
      <c r="M159" s="164"/>
      <c r="N159" s="164"/>
      <c r="O159" s="164"/>
      <c r="P159" s="164">
        <f t="shared" si="26"/>
        <v>41</v>
      </c>
      <c r="Q159" s="164">
        <f t="shared" si="26"/>
        <v>58</v>
      </c>
      <c r="R159" s="164">
        <f t="shared" si="27"/>
        <v>99</v>
      </c>
    </row>
    <row r="160" spans="2:18" ht="15.6" x14ac:dyDescent="0.3">
      <c r="B160" s="182"/>
      <c r="C160" s="164" t="s">
        <v>120</v>
      </c>
      <c r="D160" s="164"/>
      <c r="E160" s="164"/>
      <c r="F160" s="164"/>
      <c r="G160" s="164"/>
      <c r="H160" s="164">
        <f>G111</f>
        <v>25</v>
      </c>
      <c r="I160" s="164">
        <f t="shared" ref="I160:O160" si="36">H111</f>
        <v>30</v>
      </c>
      <c r="J160" s="164">
        <f t="shared" si="36"/>
        <v>12</v>
      </c>
      <c r="K160" s="164">
        <f t="shared" si="36"/>
        <v>33</v>
      </c>
      <c r="L160" s="164">
        <f t="shared" si="36"/>
        <v>17</v>
      </c>
      <c r="M160" s="164">
        <f t="shared" si="36"/>
        <v>29</v>
      </c>
      <c r="N160" s="164">
        <f t="shared" si="36"/>
        <v>19</v>
      </c>
      <c r="O160" s="164">
        <f t="shared" si="36"/>
        <v>23</v>
      </c>
      <c r="P160" s="164">
        <f t="shared" si="26"/>
        <v>73</v>
      </c>
      <c r="Q160" s="164">
        <f t="shared" si="26"/>
        <v>115</v>
      </c>
      <c r="R160" s="164">
        <f t="shared" si="27"/>
        <v>188</v>
      </c>
    </row>
    <row r="161" spans="1:52" ht="15.6" x14ac:dyDescent="0.3">
      <c r="B161" s="182"/>
      <c r="C161" s="164" t="s">
        <v>121</v>
      </c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>
        <f t="shared" si="26"/>
        <v>0</v>
      </c>
      <c r="Q161" s="164">
        <f t="shared" si="26"/>
        <v>0</v>
      </c>
      <c r="R161" s="164">
        <f t="shared" si="27"/>
        <v>0</v>
      </c>
    </row>
    <row r="162" spans="1:52" ht="15.6" x14ac:dyDescent="0.3">
      <c r="B162" s="182"/>
      <c r="C162" s="164" t="s">
        <v>122</v>
      </c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>
        <f t="shared" si="26"/>
        <v>0</v>
      </c>
      <c r="Q162" s="164">
        <f t="shared" si="26"/>
        <v>0</v>
      </c>
      <c r="R162" s="164">
        <f t="shared" si="27"/>
        <v>0</v>
      </c>
    </row>
    <row r="163" spans="1:52" ht="31.2" x14ac:dyDescent="0.3">
      <c r="B163" s="183"/>
      <c r="C163" s="164" t="s">
        <v>123</v>
      </c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>
        <f t="shared" si="26"/>
        <v>0</v>
      </c>
      <c r="Q163" s="164">
        <f t="shared" si="26"/>
        <v>0</v>
      </c>
      <c r="R163" s="164">
        <f t="shared" si="27"/>
        <v>0</v>
      </c>
    </row>
    <row r="164" spans="1:52" ht="15.6" x14ac:dyDescent="0.3">
      <c r="B164" s="181" t="s">
        <v>10</v>
      </c>
      <c r="C164" s="164" t="s">
        <v>119</v>
      </c>
      <c r="D164" s="164">
        <f>D159+D154+D149+D144+D139+D134+D129+D124+D119</f>
        <v>2361</v>
      </c>
      <c r="E164" s="164">
        <f t="shared" ref="E164:R164" si="37">E159+E154+E149+E144+E139+E134+E129+E124+E119</f>
        <v>1840</v>
      </c>
      <c r="F164" s="164">
        <f t="shared" si="37"/>
        <v>1821</v>
      </c>
      <c r="G164" s="164">
        <f t="shared" si="37"/>
        <v>1374</v>
      </c>
      <c r="H164" s="164">
        <f t="shared" si="37"/>
        <v>0</v>
      </c>
      <c r="I164" s="164">
        <f t="shared" si="37"/>
        <v>0</v>
      </c>
      <c r="J164" s="164">
        <f t="shared" si="37"/>
        <v>0</v>
      </c>
      <c r="K164" s="164">
        <f t="shared" si="37"/>
        <v>0</v>
      </c>
      <c r="L164" s="164">
        <f t="shared" si="37"/>
        <v>0</v>
      </c>
      <c r="M164" s="164">
        <f t="shared" si="37"/>
        <v>0</v>
      </c>
      <c r="N164" s="164">
        <f t="shared" si="37"/>
        <v>0</v>
      </c>
      <c r="O164" s="164">
        <f t="shared" si="37"/>
        <v>0</v>
      </c>
      <c r="P164" s="164">
        <f t="shared" si="37"/>
        <v>4182</v>
      </c>
      <c r="Q164" s="164">
        <f t="shared" si="37"/>
        <v>3214</v>
      </c>
      <c r="R164" s="164">
        <f t="shared" si="37"/>
        <v>7396</v>
      </c>
    </row>
    <row r="165" spans="1:52" ht="15.6" x14ac:dyDescent="0.3">
      <c r="B165" s="182"/>
      <c r="C165" s="164" t="s">
        <v>120</v>
      </c>
      <c r="D165" s="164">
        <f t="shared" ref="D165:R168" si="38">D160+D155+D150+D145+D140+D135+D130+D125+D120</f>
        <v>0</v>
      </c>
      <c r="E165" s="164">
        <f t="shared" si="38"/>
        <v>0</v>
      </c>
      <c r="F165" s="164">
        <f t="shared" si="38"/>
        <v>0</v>
      </c>
      <c r="G165" s="164">
        <f t="shared" si="38"/>
        <v>0</v>
      </c>
      <c r="H165" s="164">
        <f t="shared" si="38"/>
        <v>1512</v>
      </c>
      <c r="I165" s="164">
        <f t="shared" si="38"/>
        <v>1066</v>
      </c>
      <c r="J165" s="164">
        <f t="shared" si="38"/>
        <v>1130</v>
      </c>
      <c r="K165" s="164">
        <f t="shared" si="38"/>
        <v>796</v>
      </c>
      <c r="L165" s="164">
        <f t="shared" si="38"/>
        <v>847</v>
      </c>
      <c r="M165" s="164">
        <f t="shared" si="38"/>
        <v>576</v>
      </c>
      <c r="N165" s="164">
        <f t="shared" si="38"/>
        <v>788</v>
      </c>
      <c r="O165" s="164">
        <f t="shared" si="38"/>
        <v>479</v>
      </c>
      <c r="P165" s="164">
        <f t="shared" si="38"/>
        <v>4277</v>
      </c>
      <c r="Q165" s="164">
        <f t="shared" si="38"/>
        <v>2917</v>
      </c>
      <c r="R165" s="164">
        <f t="shared" si="38"/>
        <v>7194</v>
      </c>
    </row>
    <row r="166" spans="1:52" ht="15.6" x14ac:dyDescent="0.3">
      <c r="B166" s="182"/>
      <c r="C166" s="164" t="s">
        <v>121</v>
      </c>
      <c r="D166" s="164">
        <f t="shared" si="38"/>
        <v>0</v>
      </c>
      <c r="E166" s="164">
        <f t="shared" si="38"/>
        <v>0</v>
      </c>
      <c r="F166" s="164">
        <f t="shared" si="38"/>
        <v>0</v>
      </c>
      <c r="G166" s="164">
        <f t="shared" si="38"/>
        <v>0</v>
      </c>
      <c r="H166" s="164">
        <f t="shared" si="38"/>
        <v>35</v>
      </c>
      <c r="I166" s="164">
        <f t="shared" si="38"/>
        <v>17</v>
      </c>
      <c r="J166" s="164">
        <f t="shared" si="38"/>
        <v>15</v>
      </c>
      <c r="K166" s="164">
        <f t="shared" si="38"/>
        <v>4</v>
      </c>
      <c r="L166" s="164">
        <f t="shared" si="38"/>
        <v>20</v>
      </c>
      <c r="M166" s="164">
        <f t="shared" si="38"/>
        <v>5</v>
      </c>
      <c r="N166" s="164">
        <f t="shared" si="38"/>
        <v>13</v>
      </c>
      <c r="O166" s="164">
        <f t="shared" si="38"/>
        <v>7</v>
      </c>
      <c r="P166" s="164">
        <f t="shared" si="38"/>
        <v>83</v>
      </c>
      <c r="Q166" s="164">
        <f t="shared" si="38"/>
        <v>33</v>
      </c>
      <c r="R166" s="164">
        <f t="shared" si="38"/>
        <v>116</v>
      </c>
    </row>
    <row r="167" spans="1:52" ht="15.6" x14ac:dyDescent="0.3">
      <c r="B167" s="182"/>
      <c r="C167" s="164" t="s">
        <v>122</v>
      </c>
      <c r="D167" s="164">
        <f t="shared" si="38"/>
        <v>0</v>
      </c>
      <c r="E167" s="164">
        <f t="shared" si="38"/>
        <v>0</v>
      </c>
      <c r="F167" s="164">
        <f t="shared" si="38"/>
        <v>0</v>
      </c>
      <c r="G167" s="164">
        <f t="shared" si="38"/>
        <v>0</v>
      </c>
      <c r="H167" s="164">
        <f t="shared" si="38"/>
        <v>0</v>
      </c>
      <c r="I167" s="164">
        <f t="shared" si="38"/>
        <v>0</v>
      </c>
      <c r="J167" s="164">
        <f t="shared" si="38"/>
        <v>0</v>
      </c>
      <c r="K167" s="164">
        <f t="shared" si="38"/>
        <v>0</v>
      </c>
      <c r="L167" s="164">
        <f t="shared" si="38"/>
        <v>0</v>
      </c>
      <c r="M167" s="164">
        <f t="shared" si="38"/>
        <v>0</v>
      </c>
      <c r="N167" s="164">
        <f t="shared" si="38"/>
        <v>0</v>
      </c>
      <c r="O167" s="164">
        <f t="shared" si="38"/>
        <v>0</v>
      </c>
      <c r="P167" s="164">
        <f t="shared" si="38"/>
        <v>0</v>
      </c>
      <c r="Q167" s="164">
        <f t="shared" si="38"/>
        <v>0</v>
      </c>
      <c r="R167" s="164">
        <f t="shared" si="38"/>
        <v>0</v>
      </c>
    </row>
    <row r="168" spans="1:52" ht="31.2" x14ac:dyDescent="0.3">
      <c r="A168" s="1"/>
      <c r="B168" s="183"/>
      <c r="C168" s="164" t="s">
        <v>123</v>
      </c>
      <c r="D168" s="164">
        <f t="shared" si="38"/>
        <v>0</v>
      </c>
      <c r="E168" s="164">
        <f t="shared" si="38"/>
        <v>0</v>
      </c>
      <c r="F168" s="164">
        <f t="shared" si="38"/>
        <v>0</v>
      </c>
      <c r="G168" s="164">
        <f t="shared" si="38"/>
        <v>0</v>
      </c>
      <c r="H168" s="164">
        <f t="shared" si="38"/>
        <v>0</v>
      </c>
      <c r="I168" s="164">
        <f t="shared" si="38"/>
        <v>0</v>
      </c>
      <c r="J168" s="164">
        <f t="shared" si="38"/>
        <v>0</v>
      </c>
      <c r="K168" s="164">
        <f t="shared" si="38"/>
        <v>0</v>
      </c>
      <c r="L168" s="164">
        <f t="shared" si="38"/>
        <v>0</v>
      </c>
      <c r="M168" s="164">
        <f t="shared" si="38"/>
        <v>0</v>
      </c>
      <c r="N168" s="164">
        <f t="shared" si="38"/>
        <v>0</v>
      </c>
      <c r="O168" s="164">
        <f t="shared" si="38"/>
        <v>0</v>
      </c>
      <c r="P168" s="164">
        <f t="shared" si="38"/>
        <v>0</v>
      </c>
      <c r="Q168" s="164">
        <f t="shared" si="38"/>
        <v>0</v>
      </c>
      <c r="R168" s="164">
        <f t="shared" si="38"/>
        <v>0</v>
      </c>
    </row>
    <row r="169" spans="1:52" x14ac:dyDescent="0.3">
      <c r="A169" s="1"/>
      <c r="AY169" s="24"/>
      <c r="AZ169" s="24"/>
    </row>
    <row r="170" spans="1:52" x14ac:dyDescent="0.3">
      <c r="A170" s="1" t="s">
        <v>38</v>
      </c>
      <c r="AY170" s="24"/>
      <c r="AZ170" s="24"/>
    </row>
    <row r="171" spans="1:52" x14ac:dyDescent="0.3">
      <c r="A171" s="1"/>
      <c r="AY171" s="24"/>
      <c r="AZ171" s="24"/>
    </row>
    <row r="172" spans="1:52" ht="57.6" x14ac:dyDescent="0.3">
      <c r="A172" s="52" t="s">
        <v>6</v>
      </c>
      <c r="B172" s="52" t="s">
        <v>18</v>
      </c>
      <c r="C172" s="230" t="s">
        <v>55</v>
      </c>
      <c r="D172" s="230"/>
      <c r="E172" s="230" t="s">
        <v>56</v>
      </c>
      <c r="F172" s="230"/>
      <c r="G172" s="230" t="s">
        <v>57</v>
      </c>
      <c r="H172" s="230"/>
      <c r="I172" s="230" t="s">
        <v>58</v>
      </c>
      <c r="J172" s="230"/>
      <c r="K172" s="230" t="s">
        <v>59</v>
      </c>
      <c r="L172" s="230"/>
      <c r="M172" s="230" t="s">
        <v>60</v>
      </c>
      <c r="N172" s="230"/>
      <c r="O172" s="230" t="s">
        <v>61</v>
      </c>
      <c r="P172" s="230"/>
      <c r="Q172" s="240" t="s">
        <v>10</v>
      </c>
      <c r="R172" s="241"/>
      <c r="S172" s="242"/>
      <c r="T172" s="167"/>
      <c r="U172" s="123"/>
      <c r="AY172" s="24"/>
      <c r="AZ172" s="24"/>
    </row>
    <row r="173" spans="1:52" x14ac:dyDescent="0.3">
      <c r="A173" s="73"/>
      <c r="B173" s="73"/>
      <c r="C173" s="137" t="s">
        <v>43</v>
      </c>
      <c r="D173" s="137" t="s">
        <v>30</v>
      </c>
      <c r="E173" s="137" t="s">
        <v>43</v>
      </c>
      <c r="F173" s="137" t="s">
        <v>30</v>
      </c>
      <c r="G173" s="137" t="s">
        <v>43</v>
      </c>
      <c r="H173" s="137" t="s">
        <v>30</v>
      </c>
      <c r="I173" s="137" t="s">
        <v>43</v>
      </c>
      <c r="J173" s="137" t="s">
        <v>30</v>
      </c>
      <c r="K173" s="137" t="s">
        <v>43</v>
      </c>
      <c r="L173" s="137" t="s">
        <v>30</v>
      </c>
      <c r="M173" s="137" t="s">
        <v>43</v>
      </c>
      <c r="N173" s="137" t="s">
        <v>30</v>
      </c>
      <c r="O173" s="137" t="s">
        <v>43</v>
      </c>
      <c r="P173" s="137" t="s">
        <v>30</v>
      </c>
      <c r="Q173" s="137" t="s">
        <v>43</v>
      </c>
      <c r="R173" s="137" t="s">
        <v>30</v>
      </c>
      <c r="S173" s="166" t="s">
        <v>134</v>
      </c>
      <c r="T173" s="168"/>
      <c r="U173" s="28"/>
      <c r="AY173" s="24"/>
      <c r="AZ173" s="24"/>
    </row>
    <row r="174" spans="1:52" x14ac:dyDescent="0.3">
      <c r="A174" s="13">
        <v>1</v>
      </c>
      <c r="B174" s="31" t="s">
        <v>44</v>
      </c>
      <c r="C174" s="18">
        <v>13</v>
      </c>
      <c r="D174" s="18">
        <v>1</v>
      </c>
      <c r="E174" s="18">
        <v>2</v>
      </c>
      <c r="F174" s="18">
        <v>0</v>
      </c>
      <c r="G174" s="18">
        <v>0</v>
      </c>
      <c r="H174" s="18">
        <v>0</v>
      </c>
      <c r="I174" s="18">
        <v>6</v>
      </c>
      <c r="J174" s="18">
        <v>0</v>
      </c>
      <c r="K174" s="18">
        <v>0</v>
      </c>
      <c r="L174" s="18">
        <v>0</v>
      </c>
      <c r="M174" s="18">
        <v>0</v>
      </c>
      <c r="N174" s="18">
        <v>0</v>
      </c>
      <c r="O174" s="18">
        <v>104</v>
      </c>
      <c r="P174" s="18">
        <v>4</v>
      </c>
      <c r="Q174" s="18">
        <f>O174+M174+K174+I174+G174+E174+C174</f>
        <v>125</v>
      </c>
      <c r="R174" s="18">
        <f>P174+N174+L174+J174+H174+F174+D174</f>
        <v>5</v>
      </c>
      <c r="S174" s="18">
        <f>SUM(Q174:R174)</f>
        <v>130</v>
      </c>
      <c r="T174" s="168"/>
      <c r="U174" s="28"/>
      <c r="AY174" s="24"/>
      <c r="AZ174" s="24"/>
    </row>
    <row r="175" spans="1:52" x14ac:dyDescent="0.3">
      <c r="A175" s="13">
        <v>2</v>
      </c>
      <c r="B175" s="31" t="s">
        <v>45</v>
      </c>
      <c r="C175" s="18">
        <v>30</v>
      </c>
      <c r="D175" s="18">
        <v>3</v>
      </c>
      <c r="E175" s="18">
        <v>2</v>
      </c>
      <c r="F175" s="18">
        <v>0</v>
      </c>
      <c r="G175" s="18">
        <v>0</v>
      </c>
      <c r="H175" s="18">
        <v>0</v>
      </c>
      <c r="I175" s="18">
        <v>5</v>
      </c>
      <c r="J175" s="18">
        <v>0</v>
      </c>
      <c r="K175" s="18">
        <v>0</v>
      </c>
      <c r="L175" s="18">
        <v>0</v>
      </c>
      <c r="M175" s="18">
        <v>0</v>
      </c>
      <c r="N175" s="18">
        <v>0</v>
      </c>
      <c r="O175" s="18">
        <v>217</v>
      </c>
      <c r="P175" s="18">
        <v>16</v>
      </c>
      <c r="Q175" s="18">
        <f t="shared" ref="Q175:R180" si="39">O175+M175+K175+I175+G175+E175+C175</f>
        <v>254</v>
      </c>
      <c r="R175" s="18">
        <f t="shared" si="39"/>
        <v>19</v>
      </c>
      <c r="S175" s="18">
        <f t="shared" ref="S175:S180" si="40">SUM(Q175:R175)</f>
        <v>273</v>
      </c>
      <c r="T175" s="168"/>
      <c r="U175" s="28"/>
      <c r="AY175" s="24"/>
      <c r="AZ175" s="24"/>
    </row>
    <row r="176" spans="1:52" x14ac:dyDescent="0.3">
      <c r="A176" s="13">
        <v>3</v>
      </c>
      <c r="B176" s="31" t="s">
        <v>46</v>
      </c>
      <c r="C176" s="18">
        <v>29</v>
      </c>
      <c r="D176" s="18">
        <v>3</v>
      </c>
      <c r="E176" s="18">
        <v>3</v>
      </c>
      <c r="F176" s="18">
        <v>0</v>
      </c>
      <c r="G176" s="18">
        <v>0</v>
      </c>
      <c r="H176" s="18">
        <v>0</v>
      </c>
      <c r="I176" s="18">
        <v>5</v>
      </c>
      <c r="J176" s="18">
        <v>0</v>
      </c>
      <c r="K176" s="18">
        <v>0</v>
      </c>
      <c r="L176" s="18">
        <v>0</v>
      </c>
      <c r="M176" s="18">
        <v>0</v>
      </c>
      <c r="N176" s="18">
        <v>0</v>
      </c>
      <c r="O176" s="18">
        <v>315</v>
      </c>
      <c r="P176" s="18">
        <v>32</v>
      </c>
      <c r="Q176" s="18">
        <f t="shared" si="39"/>
        <v>352</v>
      </c>
      <c r="R176" s="18">
        <f t="shared" si="39"/>
        <v>35</v>
      </c>
      <c r="S176" s="18">
        <f t="shared" si="40"/>
        <v>387</v>
      </c>
      <c r="T176" s="168"/>
      <c r="U176" s="28"/>
      <c r="AY176" s="50"/>
      <c r="AZ176" s="50"/>
    </row>
    <row r="177" spans="1:21" x14ac:dyDescent="0.3">
      <c r="A177" s="13">
        <v>4</v>
      </c>
      <c r="B177" s="31" t="s">
        <v>47</v>
      </c>
      <c r="C177" s="18">
        <v>0</v>
      </c>
      <c r="D177" s="18">
        <v>0</v>
      </c>
      <c r="E177" s="18">
        <v>0</v>
      </c>
      <c r="F177" s="18">
        <v>0</v>
      </c>
      <c r="G177" s="18">
        <v>0</v>
      </c>
      <c r="H177" s="18">
        <v>0</v>
      </c>
      <c r="I177" s="18">
        <v>0</v>
      </c>
      <c r="J177" s="18">
        <v>0</v>
      </c>
      <c r="K177" s="18">
        <v>0</v>
      </c>
      <c r="L177" s="18">
        <v>0</v>
      </c>
      <c r="M177" s="18">
        <v>0</v>
      </c>
      <c r="N177" s="18">
        <v>0</v>
      </c>
      <c r="O177" s="18">
        <v>14</v>
      </c>
      <c r="P177" s="18">
        <v>0</v>
      </c>
      <c r="Q177" s="18">
        <f t="shared" si="39"/>
        <v>14</v>
      </c>
      <c r="R177" s="18">
        <f t="shared" si="39"/>
        <v>0</v>
      </c>
      <c r="S177" s="18">
        <f t="shared" si="40"/>
        <v>14</v>
      </c>
      <c r="T177" s="168"/>
      <c r="U177" s="28"/>
    </row>
    <row r="178" spans="1:21" x14ac:dyDescent="0.3">
      <c r="A178" s="13">
        <v>5</v>
      </c>
      <c r="B178" s="31" t="s">
        <v>48</v>
      </c>
      <c r="C178" s="18">
        <v>0</v>
      </c>
      <c r="D178" s="18">
        <v>0</v>
      </c>
      <c r="E178" s="18">
        <v>0</v>
      </c>
      <c r="F178" s="18">
        <v>0</v>
      </c>
      <c r="G178" s="18">
        <v>0</v>
      </c>
      <c r="H178" s="18">
        <v>0</v>
      </c>
      <c r="I178" s="18">
        <v>0</v>
      </c>
      <c r="J178" s="18">
        <v>0</v>
      </c>
      <c r="K178" s="18">
        <v>0</v>
      </c>
      <c r="L178" s="18">
        <v>0</v>
      </c>
      <c r="M178" s="18">
        <v>0</v>
      </c>
      <c r="N178" s="18">
        <v>0</v>
      </c>
      <c r="O178" s="18">
        <v>0</v>
      </c>
      <c r="P178" s="18">
        <v>0</v>
      </c>
      <c r="Q178" s="18">
        <f t="shared" si="39"/>
        <v>0</v>
      </c>
      <c r="R178" s="18">
        <f t="shared" si="39"/>
        <v>0</v>
      </c>
      <c r="S178" s="18">
        <f t="shared" si="40"/>
        <v>0</v>
      </c>
      <c r="T178" s="168"/>
      <c r="U178" s="28"/>
    </row>
    <row r="179" spans="1:21" x14ac:dyDescent="0.3">
      <c r="A179" s="13">
        <v>6</v>
      </c>
      <c r="B179" s="31" t="s">
        <v>49</v>
      </c>
      <c r="C179" s="18">
        <v>0</v>
      </c>
      <c r="D179" s="18">
        <v>0</v>
      </c>
      <c r="E179" s="18">
        <v>0</v>
      </c>
      <c r="F179" s="18">
        <v>0</v>
      </c>
      <c r="G179" s="18">
        <v>0</v>
      </c>
      <c r="H179" s="18">
        <v>0</v>
      </c>
      <c r="I179" s="18">
        <v>0</v>
      </c>
      <c r="J179" s="18">
        <v>0</v>
      </c>
      <c r="K179" s="18">
        <v>0</v>
      </c>
      <c r="L179" s="18">
        <v>0</v>
      </c>
      <c r="M179" s="18">
        <v>0</v>
      </c>
      <c r="N179" s="18">
        <v>0</v>
      </c>
      <c r="O179" s="18">
        <v>12</v>
      </c>
      <c r="P179" s="18">
        <v>1</v>
      </c>
      <c r="Q179" s="18">
        <f t="shared" si="39"/>
        <v>12</v>
      </c>
      <c r="R179" s="18">
        <f t="shared" si="39"/>
        <v>1</v>
      </c>
      <c r="S179" s="18">
        <f t="shared" si="40"/>
        <v>13</v>
      </c>
      <c r="T179" s="168"/>
      <c r="U179" s="28"/>
    </row>
    <row r="180" spans="1:21" x14ac:dyDescent="0.3">
      <c r="A180" s="13">
        <v>7</v>
      </c>
      <c r="B180" s="31" t="s">
        <v>50</v>
      </c>
      <c r="C180" s="18">
        <v>0</v>
      </c>
      <c r="D180" s="18">
        <v>0</v>
      </c>
      <c r="E180" s="18">
        <v>0</v>
      </c>
      <c r="F180" s="18">
        <v>0</v>
      </c>
      <c r="G180" s="18">
        <v>0</v>
      </c>
      <c r="H180" s="18">
        <v>0</v>
      </c>
      <c r="I180" s="18">
        <v>0</v>
      </c>
      <c r="J180" s="18">
        <v>0</v>
      </c>
      <c r="K180" s="18">
        <v>0</v>
      </c>
      <c r="L180" s="18">
        <v>0</v>
      </c>
      <c r="M180" s="18">
        <v>0</v>
      </c>
      <c r="N180" s="18">
        <v>0</v>
      </c>
      <c r="O180" s="18">
        <v>0</v>
      </c>
      <c r="P180" s="18">
        <v>0</v>
      </c>
      <c r="Q180" s="18">
        <f t="shared" si="39"/>
        <v>0</v>
      </c>
      <c r="R180" s="18">
        <f t="shared" si="39"/>
        <v>0</v>
      </c>
      <c r="S180" s="18">
        <f t="shared" si="40"/>
        <v>0</v>
      </c>
      <c r="T180" s="168"/>
      <c r="U180" s="28"/>
    </row>
    <row r="181" spans="1:21" x14ac:dyDescent="0.3">
      <c r="A181" s="226" t="s">
        <v>10</v>
      </c>
      <c r="B181" s="226"/>
      <c r="C181" s="65">
        <f>SUM(C174:C180)</f>
        <v>72</v>
      </c>
      <c r="D181" s="65">
        <f t="shared" ref="D181:P181" si="41">SUM(D174:D180)</f>
        <v>7</v>
      </c>
      <c r="E181" s="65">
        <f t="shared" si="41"/>
        <v>7</v>
      </c>
      <c r="F181" s="65">
        <f t="shared" si="41"/>
        <v>0</v>
      </c>
      <c r="G181" s="65">
        <f t="shared" si="41"/>
        <v>0</v>
      </c>
      <c r="H181" s="65">
        <f t="shared" si="41"/>
        <v>0</v>
      </c>
      <c r="I181" s="65">
        <f t="shared" si="41"/>
        <v>16</v>
      </c>
      <c r="J181" s="65">
        <f t="shared" si="41"/>
        <v>0</v>
      </c>
      <c r="K181" s="65">
        <f t="shared" si="41"/>
        <v>0</v>
      </c>
      <c r="L181" s="65">
        <f t="shared" si="41"/>
        <v>0</v>
      </c>
      <c r="M181" s="65">
        <f t="shared" si="41"/>
        <v>0</v>
      </c>
      <c r="N181" s="65">
        <f t="shared" si="41"/>
        <v>0</v>
      </c>
      <c r="O181" s="126">
        <f t="shared" si="41"/>
        <v>662</v>
      </c>
      <c r="P181" s="126">
        <f t="shared" si="41"/>
        <v>53</v>
      </c>
      <c r="Q181" s="126">
        <f>SUM(Q174:Q180)</f>
        <v>757</v>
      </c>
      <c r="R181" s="126">
        <f t="shared" ref="R181" si="42">SUM(R174:R180)</f>
        <v>60</v>
      </c>
      <c r="S181" s="126">
        <f>SUM(S174:S180)</f>
        <v>817</v>
      </c>
      <c r="T181" s="169"/>
      <c r="U181" s="124"/>
    </row>
  </sheetData>
  <mergeCells count="69">
    <mergeCell ref="Q172:S172"/>
    <mergeCell ref="M42:O42"/>
    <mergeCell ref="A15:B15"/>
    <mergeCell ref="A27:B27"/>
    <mergeCell ref="C30:D30"/>
    <mergeCell ref="E30:F30"/>
    <mergeCell ref="G30:H30"/>
    <mergeCell ref="I30:K30"/>
    <mergeCell ref="A39:B39"/>
    <mergeCell ref="C42:D42"/>
    <mergeCell ref="E42:F42"/>
    <mergeCell ref="G42:H42"/>
    <mergeCell ref="I42:J42"/>
    <mergeCell ref="K42:L42"/>
    <mergeCell ref="A51:B51"/>
    <mergeCell ref="A63:B63"/>
    <mergeCell ref="A65:S65"/>
    <mergeCell ref="C66:D66"/>
    <mergeCell ref="E66:F66"/>
    <mergeCell ref="G66:H66"/>
    <mergeCell ref="I66:J66"/>
    <mergeCell ref="K66:L66"/>
    <mergeCell ref="M66:N66"/>
    <mergeCell ref="O66:Q66"/>
    <mergeCell ref="A75:B75"/>
    <mergeCell ref="C78:D78"/>
    <mergeCell ref="E78:F78"/>
    <mergeCell ref="G78:H78"/>
    <mergeCell ref="I78:J78"/>
    <mergeCell ref="K78:M78"/>
    <mergeCell ref="A87:B87"/>
    <mergeCell ref="A100:B100"/>
    <mergeCell ref="C104:D104"/>
    <mergeCell ref="E104:F104"/>
    <mergeCell ref="G104:H104"/>
    <mergeCell ref="A181:B181"/>
    <mergeCell ref="K104:L104"/>
    <mergeCell ref="M104:N104"/>
    <mergeCell ref="O104:Q104"/>
    <mergeCell ref="A113:B113"/>
    <mergeCell ref="C172:D172"/>
    <mergeCell ref="E172:F172"/>
    <mergeCell ref="G172:H172"/>
    <mergeCell ref="I172:J172"/>
    <mergeCell ref="K172:L172"/>
    <mergeCell ref="M172:N172"/>
    <mergeCell ref="I104:J104"/>
    <mergeCell ref="O172:P172"/>
    <mergeCell ref="B114:R114"/>
    <mergeCell ref="B115:B118"/>
    <mergeCell ref="C115:C118"/>
    <mergeCell ref="D115:R115"/>
    <mergeCell ref="D116:E117"/>
    <mergeCell ref="F116:G117"/>
    <mergeCell ref="H116:I117"/>
    <mergeCell ref="J116:K117"/>
    <mergeCell ref="L116:M117"/>
    <mergeCell ref="N116:O117"/>
    <mergeCell ref="P116:R117"/>
    <mergeCell ref="B119:B123"/>
    <mergeCell ref="B124:B128"/>
    <mergeCell ref="B129:B133"/>
    <mergeCell ref="B134:B138"/>
    <mergeCell ref="B139:B143"/>
    <mergeCell ref="B144:B148"/>
    <mergeCell ref="B149:B153"/>
    <mergeCell ref="B154:B158"/>
    <mergeCell ref="B159:B163"/>
    <mergeCell ref="B164:B16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9F1E9-308E-42B1-832E-277EC2589330}">
  <dimension ref="A1:CM181"/>
  <sheetViews>
    <sheetView topLeftCell="A157" zoomScale="80" zoomScaleNormal="80" workbookViewId="0">
      <selection activeCell="Q174" sqref="Q174:S181"/>
    </sheetView>
  </sheetViews>
  <sheetFormatPr baseColWidth="10" defaultRowHeight="14.4" x14ac:dyDescent="0.3"/>
  <cols>
    <col min="1" max="1" width="5.6640625" customWidth="1"/>
    <col min="2" max="2" width="20.109375" customWidth="1"/>
    <col min="3" max="3" width="13.77734375" customWidth="1"/>
    <col min="5" max="5" width="13.33203125" customWidth="1"/>
  </cols>
  <sheetData>
    <row r="1" spans="1:6" x14ac:dyDescent="0.3">
      <c r="A1" s="1" t="s">
        <v>0</v>
      </c>
    </row>
    <row r="2" spans="1:6" x14ac:dyDescent="0.3">
      <c r="A2" s="1" t="s">
        <v>1</v>
      </c>
    </row>
    <row r="3" spans="1:6" x14ac:dyDescent="0.3">
      <c r="A3" s="1" t="s">
        <v>2</v>
      </c>
      <c r="D3" t="s">
        <v>75</v>
      </c>
    </row>
    <row r="4" spans="1:6" x14ac:dyDescent="0.3">
      <c r="A4" s="1" t="s">
        <v>3</v>
      </c>
      <c r="D4" t="s">
        <v>76</v>
      </c>
    </row>
    <row r="5" spans="1:6" x14ac:dyDescent="0.3">
      <c r="A5" s="1" t="s">
        <v>4</v>
      </c>
      <c r="D5" t="s">
        <v>77</v>
      </c>
    </row>
    <row r="6" spans="1:6" ht="21" customHeight="1" thickBot="1" x14ac:dyDescent="0.35">
      <c r="A6" s="1" t="s">
        <v>5</v>
      </c>
    </row>
    <row r="7" spans="1:6" ht="64.2" customHeight="1" x14ac:dyDescent="0.3">
      <c r="A7" s="57" t="s">
        <v>6</v>
      </c>
      <c r="B7" s="58" t="s">
        <v>18</v>
      </c>
      <c r="C7" s="57" t="s">
        <v>7</v>
      </c>
      <c r="D7" s="57" t="s">
        <v>8</v>
      </c>
      <c r="E7" s="57" t="s">
        <v>9</v>
      </c>
      <c r="F7" s="57" t="s">
        <v>10</v>
      </c>
    </row>
    <row r="8" spans="1:6" ht="15" thickBot="1" x14ac:dyDescent="0.35">
      <c r="A8" s="116">
        <v>1</v>
      </c>
      <c r="B8" s="55" t="s">
        <v>44</v>
      </c>
      <c r="C8" s="19">
        <v>3</v>
      </c>
      <c r="D8" s="19">
        <v>29</v>
      </c>
      <c r="E8" s="19">
        <v>24</v>
      </c>
      <c r="F8" s="19">
        <f>SUM(C8:E8)</f>
        <v>56</v>
      </c>
    </row>
    <row r="9" spans="1:6" ht="15" thickBot="1" x14ac:dyDescent="0.35">
      <c r="A9" s="116">
        <v>2</v>
      </c>
      <c r="B9" s="55" t="s">
        <v>45</v>
      </c>
      <c r="C9" s="19">
        <v>1</v>
      </c>
      <c r="D9" s="19">
        <v>78</v>
      </c>
      <c r="E9" s="19">
        <v>24</v>
      </c>
      <c r="F9" s="19">
        <f t="shared" ref="F9:F14" si="0">SUM(C9:E9)</f>
        <v>103</v>
      </c>
    </row>
    <row r="10" spans="1:6" ht="15" thickBot="1" x14ac:dyDescent="0.35">
      <c r="A10" s="116">
        <v>3</v>
      </c>
      <c r="B10" s="55" t="s">
        <v>46</v>
      </c>
      <c r="C10" s="19">
        <v>1</v>
      </c>
      <c r="D10" s="19">
        <v>46</v>
      </c>
      <c r="E10" s="19">
        <v>13</v>
      </c>
      <c r="F10" s="19">
        <f t="shared" si="0"/>
        <v>60</v>
      </c>
    </row>
    <row r="11" spans="1:6" ht="15" thickBot="1" x14ac:dyDescent="0.35">
      <c r="A11" s="116">
        <v>4</v>
      </c>
      <c r="B11" s="55" t="s">
        <v>47</v>
      </c>
      <c r="C11" s="19">
        <v>0</v>
      </c>
      <c r="D11" s="19">
        <v>8</v>
      </c>
      <c r="E11" s="19">
        <v>1</v>
      </c>
      <c r="F11" s="19">
        <f t="shared" si="0"/>
        <v>9</v>
      </c>
    </row>
    <row r="12" spans="1:6" ht="15" thickBot="1" x14ac:dyDescent="0.35">
      <c r="A12" s="116">
        <v>5</v>
      </c>
      <c r="B12" s="55" t="s">
        <v>48</v>
      </c>
      <c r="C12" s="19">
        <v>0</v>
      </c>
      <c r="D12" s="19">
        <v>0</v>
      </c>
      <c r="E12" s="19">
        <v>0</v>
      </c>
      <c r="F12" s="19">
        <f t="shared" si="0"/>
        <v>0</v>
      </c>
    </row>
    <row r="13" spans="1:6" ht="15" thickBot="1" x14ac:dyDescent="0.35">
      <c r="A13" s="116">
        <v>6</v>
      </c>
      <c r="B13" s="55" t="s">
        <v>49</v>
      </c>
      <c r="C13" s="19">
        <v>0</v>
      </c>
      <c r="D13" s="19">
        <v>4</v>
      </c>
      <c r="E13" s="19">
        <v>3</v>
      </c>
      <c r="F13" s="19">
        <f t="shared" si="0"/>
        <v>7</v>
      </c>
    </row>
    <row r="14" spans="1:6" ht="15" thickBot="1" x14ac:dyDescent="0.35">
      <c r="A14" s="116">
        <v>7</v>
      </c>
      <c r="B14" s="55" t="s">
        <v>50</v>
      </c>
      <c r="C14" s="19">
        <v>0</v>
      </c>
      <c r="D14" s="19">
        <v>0</v>
      </c>
      <c r="E14" s="19">
        <v>0</v>
      </c>
      <c r="F14" s="19">
        <f t="shared" si="0"/>
        <v>0</v>
      </c>
    </row>
    <row r="15" spans="1:6" ht="15" thickBot="1" x14ac:dyDescent="0.35">
      <c r="A15" s="246" t="s">
        <v>10</v>
      </c>
      <c r="B15" s="247"/>
      <c r="C15" s="131">
        <f>SUM(C8:C14)</f>
        <v>5</v>
      </c>
      <c r="D15" s="131">
        <f>SUM(D8:D14)</f>
        <v>165</v>
      </c>
      <c r="E15" s="131">
        <f>SUM(E8:E14)</f>
        <v>65</v>
      </c>
      <c r="F15" s="131">
        <f>SUM(F8:F14)</f>
        <v>235</v>
      </c>
    </row>
    <row r="16" spans="1:6" x14ac:dyDescent="0.3">
      <c r="A16" s="1"/>
    </row>
    <row r="17" spans="1:13" x14ac:dyDescent="0.3">
      <c r="A17" s="7" t="s">
        <v>11</v>
      </c>
    </row>
    <row r="18" spans="1:13" ht="18.600000000000001" customHeight="1" x14ac:dyDescent="0.3">
      <c r="A18" s="7" t="s">
        <v>12</v>
      </c>
    </row>
    <row r="19" spans="1:13" ht="43.2" x14ac:dyDescent="0.3">
      <c r="A19" s="52" t="s">
        <v>6</v>
      </c>
      <c r="B19" s="52" t="s">
        <v>18</v>
      </c>
      <c r="C19" s="53" t="s">
        <v>80</v>
      </c>
      <c r="D19" s="53" t="s">
        <v>14</v>
      </c>
      <c r="E19" s="53" t="s">
        <v>15</v>
      </c>
      <c r="F19" s="53" t="s">
        <v>10</v>
      </c>
    </row>
    <row r="20" spans="1:13" x14ac:dyDescent="0.3">
      <c r="A20" s="18">
        <v>1</v>
      </c>
      <c r="B20" s="56" t="s">
        <v>44</v>
      </c>
      <c r="C20" s="18">
        <v>3</v>
      </c>
      <c r="D20" s="18">
        <v>3</v>
      </c>
      <c r="E20" s="18">
        <v>3</v>
      </c>
      <c r="F20" s="18">
        <f>SUM(C20:E20)</f>
        <v>9</v>
      </c>
    </row>
    <row r="21" spans="1:13" x14ac:dyDescent="0.3">
      <c r="A21" s="18">
        <v>2</v>
      </c>
      <c r="B21" s="56" t="s">
        <v>45</v>
      </c>
      <c r="C21" s="18">
        <v>1</v>
      </c>
      <c r="D21" s="18">
        <v>1</v>
      </c>
      <c r="E21" s="18">
        <v>1</v>
      </c>
      <c r="F21" s="18">
        <f t="shared" ref="F21:F26" si="1">SUM(C21:E21)</f>
        <v>3</v>
      </c>
    </row>
    <row r="22" spans="1:13" x14ac:dyDescent="0.3">
      <c r="A22" s="18">
        <v>3</v>
      </c>
      <c r="B22" s="56" t="s">
        <v>46</v>
      </c>
      <c r="C22" s="18">
        <v>1</v>
      </c>
      <c r="D22" s="18">
        <v>1</v>
      </c>
      <c r="E22" s="18">
        <v>1</v>
      </c>
      <c r="F22" s="18">
        <f t="shared" si="1"/>
        <v>3</v>
      </c>
    </row>
    <row r="23" spans="1:13" x14ac:dyDescent="0.3">
      <c r="A23" s="18">
        <v>4</v>
      </c>
      <c r="B23" s="56" t="s">
        <v>47</v>
      </c>
      <c r="C23" s="18">
        <v>0</v>
      </c>
      <c r="D23" s="18">
        <v>0</v>
      </c>
      <c r="E23" s="18">
        <v>0</v>
      </c>
      <c r="F23" s="18">
        <f t="shared" si="1"/>
        <v>0</v>
      </c>
    </row>
    <row r="24" spans="1:13" x14ac:dyDescent="0.3">
      <c r="A24" s="18">
        <v>5</v>
      </c>
      <c r="B24" s="56" t="s">
        <v>48</v>
      </c>
      <c r="C24" s="18">
        <v>0</v>
      </c>
      <c r="D24" s="18">
        <v>0</v>
      </c>
      <c r="E24" s="18">
        <v>0</v>
      </c>
      <c r="F24" s="18">
        <f t="shared" si="1"/>
        <v>0</v>
      </c>
    </row>
    <row r="25" spans="1:13" x14ac:dyDescent="0.3">
      <c r="A25" s="18">
        <v>6</v>
      </c>
      <c r="B25" s="56" t="s">
        <v>49</v>
      </c>
      <c r="C25" s="18">
        <v>0</v>
      </c>
      <c r="D25" s="18">
        <v>0</v>
      </c>
      <c r="E25" s="18">
        <v>0</v>
      </c>
      <c r="F25" s="18">
        <f t="shared" si="1"/>
        <v>0</v>
      </c>
    </row>
    <row r="26" spans="1:13" x14ac:dyDescent="0.3">
      <c r="A26" s="18">
        <v>7</v>
      </c>
      <c r="B26" s="56" t="s">
        <v>50</v>
      </c>
      <c r="C26" s="18">
        <v>0</v>
      </c>
      <c r="D26" s="18">
        <v>0</v>
      </c>
      <c r="E26" s="18">
        <v>0</v>
      </c>
      <c r="F26" s="18">
        <f t="shared" si="1"/>
        <v>0</v>
      </c>
    </row>
    <row r="27" spans="1:13" x14ac:dyDescent="0.3">
      <c r="A27" s="226" t="s">
        <v>10</v>
      </c>
      <c r="B27" s="226"/>
      <c r="C27" s="65">
        <f>SUM(C20:C26)</f>
        <v>5</v>
      </c>
      <c r="D27" s="65">
        <f>SUM(D20:D26)</f>
        <v>5</v>
      </c>
      <c r="E27" s="65">
        <f>SUM(E20:E26)</f>
        <v>5</v>
      </c>
      <c r="F27" s="65">
        <f>SUM(F20:F26)</f>
        <v>15</v>
      </c>
    </row>
    <row r="28" spans="1:13" x14ac:dyDescent="0.3">
      <c r="A28" s="8"/>
    </row>
    <row r="29" spans="1:13" x14ac:dyDescent="0.3">
      <c r="A29" s="7" t="s">
        <v>16</v>
      </c>
    </row>
    <row r="30" spans="1:13" ht="43.2" x14ac:dyDescent="0.3">
      <c r="A30" s="52" t="s">
        <v>6</v>
      </c>
      <c r="B30" s="67" t="s">
        <v>18</v>
      </c>
      <c r="C30" s="227" t="s">
        <v>51</v>
      </c>
      <c r="D30" s="227"/>
      <c r="E30" s="227" t="s">
        <v>52</v>
      </c>
      <c r="F30" s="227"/>
      <c r="G30" s="227" t="s">
        <v>53</v>
      </c>
      <c r="H30" s="227"/>
      <c r="I30" s="248" t="s">
        <v>10</v>
      </c>
      <c r="J30" s="249"/>
      <c r="K30" s="250"/>
    </row>
    <row r="31" spans="1:13" x14ac:dyDescent="0.3">
      <c r="A31" s="77"/>
      <c r="B31" s="73"/>
      <c r="C31" s="133" t="s">
        <v>29</v>
      </c>
      <c r="D31" s="133" t="s">
        <v>30</v>
      </c>
      <c r="E31" s="133" t="s">
        <v>29</v>
      </c>
      <c r="F31" s="133" t="s">
        <v>30</v>
      </c>
      <c r="G31" s="133" t="s">
        <v>29</v>
      </c>
      <c r="H31" s="133" t="s">
        <v>30</v>
      </c>
      <c r="I31" s="133" t="s">
        <v>29</v>
      </c>
      <c r="J31" s="133" t="s">
        <v>30</v>
      </c>
      <c r="K31" s="133" t="s">
        <v>62</v>
      </c>
    </row>
    <row r="32" spans="1:13" x14ac:dyDescent="0.3">
      <c r="A32" s="18">
        <v>1</v>
      </c>
      <c r="B32" s="68" t="s">
        <v>44</v>
      </c>
      <c r="C32" s="18">
        <v>25</v>
      </c>
      <c r="D32" s="18">
        <v>17</v>
      </c>
      <c r="E32" s="18">
        <v>23</v>
      </c>
      <c r="F32" s="18">
        <v>22</v>
      </c>
      <c r="G32" s="18">
        <v>21</v>
      </c>
      <c r="H32" s="18">
        <v>21</v>
      </c>
      <c r="I32" s="20">
        <f>SUM(C32+E32+G32)</f>
        <v>69</v>
      </c>
      <c r="J32" s="20">
        <v>60</v>
      </c>
      <c r="K32" s="20">
        <v>129</v>
      </c>
      <c r="M32" s="140">
        <f>SUM(D32+F32+H32)</f>
        <v>60</v>
      </c>
    </row>
    <row r="33" spans="1:17" ht="15" thickBot="1" x14ac:dyDescent="0.35">
      <c r="A33" s="116">
        <v>2</v>
      </c>
      <c r="B33" s="69" t="s">
        <v>45</v>
      </c>
      <c r="C33" s="18">
        <v>15</v>
      </c>
      <c r="D33" s="18">
        <v>10</v>
      </c>
      <c r="E33" s="18">
        <v>10</v>
      </c>
      <c r="F33" s="18">
        <v>8</v>
      </c>
      <c r="G33" s="18">
        <v>9</v>
      </c>
      <c r="H33" s="18">
        <v>12</v>
      </c>
      <c r="I33" s="20">
        <f t="shared" ref="I33:I38" si="2">SUM(C33+E33+G33)</f>
        <v>34</v>
      </c>
      <c r="J33" s="20">
        <v>30</v>
      </c>
      <c r="K33" s="20">
        <v>64</v>
      </c>
      <c r="M33" s="140">
        <f t="shared" ref="M33:M39" si="3">SUM(D33+F33+H33)</f>
        <v>30</v>
      </c>
    </row>
    <row r="34" spans="1:17" ht="15" thickBot="1" x14ac:dyDescent="0.35">
      <c r="A34" s="116">
        <v>3</v>
      </c>
      <c r="B34" s="69" t="s">
        <v>46</v>
      </c>
      <c r="C34" s="18">
        <v>7</v>
      </c>
      <c r="D34" s="18">
        <v>8</v>
      </c>
      <c r="E34" s="18">
        <v>6</v>
      </c>
      <c r="F34" s="18">
        <v>9</v>
      </c>
      <c r="G34" s="18">
        <v>6</v>
      </c>
      <c r="H34" s="18">
        <v>10</v>
      </c>
      <c r="I34" s="20">
        <f t="shared" si="2"/>
        <v>19</v>
      </c>
      <c r="J34" s="20">
        <v>27</v>
      </c>
      <c r="K34" s="20">
        <v>46</v>
      </c>
      <c r="M34" s="140">
        <f t="shared" si="3"/>
        <v>27</v>
      </c>
    </row>
    <row r="35" spans="1:17" ht="15" thickBot="1" x14ac:dyDescent="0.35">
      <c r="A35" s="116">
        <v>4</v>
      </c>
      <c r="B35" s="69" t="s">
        <v>47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f t="shared" si="2"/>
        <v>0</v>
      </c>
      <c r="J35" s="20">
        <v>0</v>
      </c>
      <c r="K35" s="20">
        <v>0</v>
      </c>
      <c r="M35" s="140">
        <f t="shared" si="3"/>
        <v>0</v>
      </c>
    </row>
    <row r="36" spans="1:17" ht="15" thickBot="1" x14ac:dyDescent="0.35">
      <c r="A36" s="116">
        <v>5</v>
      </c>
      <c r="B36" s="69" t="s">
        <v>48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f t="shared" si="2"/>
        <v>0</v>
      </c>
      <c r="J36" s="20">
        <v>0</v>
      </c>
      <c r="K36" s="20">
        <v>0</v>
      </c>
      <c r="M36" s="140">
        <f t="shared" si="3"/>
        <v>0</v>
      </c>
    </row>
    <row r="37" spans="1:17" ht="15" thickBot="1" x14ac:dyDescent="0.35">
      <c r="A37" s="116">
        <v>6</v>
      </c>
      <c r="B37" s="69" t="s">
        <v>49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f t="shared" si="2"/>
        <v>0</v>
      </c>
      <c r="J37" s="20">
        <v>0</v>
      </c>
      <c r="K37" s="20">
        <v>0</v>
      </c>
      <c r="M37" s="140">
        <f t="shared" si="3"/>
        <v>0</v>
      </c>
    </row>
    <row r="38" spans="1:17" ht="15" thickBot="1" x14ac:dyDescent="0.35">
      <c r="A38" s="116">
        <v>7</v>
      </c>
      <c r="B38" s="69" t="s">
        <v>50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f t="shared" si="2"/>
        <v>0</v>
      </c>
      <c r="J38" s="20">
        <v>0</v>
      </c>
      <c r="K38" s="20">
        <v>0</v>
      </c>
      <c r="M38" s="140">
        <f t="shared" si="3"/>
        <v>0</v>
      </c>
    </row>
    <row r="39" spans="1:17" ht="15" thickBot="1" x14ac:dyDescent="0.35">
      <c r="A39" s="246" t="s">
        <v>10</v>
      </c>
      <c r="B39" s="251"/>
      <c r="C39" s="132">
        <f>SUM(C32:C38)</f>
        <v>47</v>
      </c>
      <c r="D39" s="132">
        <f t="shared" ref="D39:K39" si="4">SUM(D32:D38)</f>
        <v>35</v>
      </c>
      <c r="E39" s="132">
        <f t="shared" si="4"/>
        <v>39</v>
      </c>
      <c r="F39" s="132">
        <f t="shared" si="4"/>
        <v>39</v>
      </c>
      <c r="G39" s="132">
        <f t="shared" si="4"/>
        <v>36</v>
      </c>
      <c r="H39" s="132">
        <f t="shared" si="4"/>
        <v>43</v>
      </c>
      <c r="I39" s="132">
        <f t="shared" si="4"/>
        <v>122</v>
      </c>
      <c r="J39" s="132">
        <f t="shared" si="4"/>
        <v>117</v>
      </c>
      <c r="K39" s="132">
        <f t="shared" si="4"/>
        <v>239</v>
      </c>
      <c r="M39" s="140">
        <f t="shared" si="3"/>
        <v>117</v>
      </c>
    </row>
    <row r="40" spans="1:17" x14ac:dyDescent="0.3">
      <c r="A40" s="8"/>
    </row>
    <row r="41" spans="1:17" x14ac:dyDescent="0.3">
      <c r="A41" s="1" t="s">
        <v>17</v>
      </c>
    </row>
    <row r="42" spans="1:17" ht="43.2" x14ac:dyDescent="0.3">
      <c r="A42" s="60" t="s">
        <v>6</v>
      </c>
      <c r="B42" s="60" t="s">
        <v>18</v>
      </c>
      <c r="C42" s="227" t="s">
        <v>64</v>
      </c>
      <c r="D42" s="227"/>
      <c r="E42" s="227" t="s">
        <v>63</v>
      </c>
      <c r="F42" s="227"/>
      <c r="G42" s="227" t="s">
        <v>65</v>
      </c>
      <c r="H42" s="227"/>
      <c r="I42" s="227" t="s">
        <v>66</v>
      </c>
      <c r="J42" s="227"/>
      <c r="K42" s="227" t="s">
        <v>61</v>
      </c>
      <c r="L42" s="227"/>
      <c r="M42" s="243" t="s">
        <v>10</v>
      </c>
      <c r="N42" s="244"/>
      <c r="O42" s="245"/>
      <c r="P42" s="141"/>
      <c r="Q42" s="141"/>
    </row>
    <row r="43" spans="1:17" x14ac:dyDescent="0.3">
      <c r="A43" s="75"/>
      <c r="B43" s="75"/>
      <c r="C43" s="133" t="s">
        <v>43</v>
      </c>
      <c r="D43" s="133" t="s">
        <v>30</v>
      </c>
      <c r="E43" s="133" t="s">
        <v>43</v>
      </c>
      <c r="F43" s="133" t="s">
        <v>30</v>
      </c>
      <c r="G43" s="133" t="s">
        <v>43</v>
      </c>
      <c r="H43" s="133" t="s">
        <v>30</v>
      </c>
      <c r="I43" s="133" t="s">
        <v>43</v>
      </c>
      <c r="J43" s="133" t="s">
        <v>30</v>
      </c>
      <c r="K43" s="133" t="s">
        <v>43</v>
      </c>
      <c r="L43" s="133" t="s">
        <v>30</v>
      </c>
      <c r="M43" s="133" t="s">
        <v>43</v>
      </c>
      <c r="N43" s="135" t="s">
        <v>30</v>
      </c>
      <c r="O43" s="137" t="s">
        <v>67</v>
      </c>
      <c r="P43" s="142"/>
      <c r="Q43" s="140"/>
    </row>
    <row r="44" spans="1:17" x14ac:dyDescent="0.3">
      <c r="A44" s="20">
        <v>1</v>
      </c>
      <c r="B44" s="54" t="s">
        <v>44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9</v>
      </c>
      <c r="K44" s="20">
        <v>0</v>
      </c>
      <c r="L44" s="20">
        <v>0</v>
      </c>
      <c r="M44" s="20">
        <f>K44+I44+G44+E44+C44</f>
        <v>0</v>
      </c>
      <c r="N44" s="20">
        <f>L44+J44+H44+F44+D44</f>
        <v>9</v>
      </c>
      <c r="O44" s="18">
        <f>N44+M44</f>
        <v>9</v>
      </c>
      <c r="P44" s="142"/>
      <c r="Q44" s="140"/>
    </row>
    <row r="45" spans="1:17" x14ac:dyDescent="0.3">
      <c r="A45" s="20">
        <v>2</v>
      </c>
      <c r="B45" s="54" t="s">
        <v>45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3</v>
      </c>
      <c r="K45" s="20">
        <v>0</v>
      </c>
      <c r="L45" s="20">
        <v>0</v>
      </c>
      <c r="M45" s="20">
        <f t="shared" ref="M45:M50" si="5">K45+I45+G45+E45+C45</f>
        <v>0</v>
      </c>
      <c r="N45" s="20">
        <f t="shared" ref="N45:N50" si="6">L45+J45+H45+F45+D45</f>
        <v>3</v>
      </c>
      <c r="O45" s="18">
        <f t="shared" ref="O45:O50" si="7">N45+M45</f>
        <v>3</v>
      </c>
      <c r="P45" s="142"/>
      <c r="Q45" s="140"/>
    </row>
    <row r="46" spans="1:17" x14ac:dyDescent="0.3">
      <c r="A46" s="20">
        <v>3</v>
      </c>
      <c r="B46" s="54" t="s">
        <v>46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3</v>
      </c>
      <c r="K46" s="20">
        <v>0</v>
      </c>
      <c r="L46" s="20">
        <v>0</v>
      </c>
      <c r="M46" s="20">
        <f t="shared" si="5"/>
        <v>0</v>
      </c>
      <c r="N46" s="20">
        <f t="shared" si="6"/>
        <v>3</v>
      </c>
      <c r="O46" s="18">
        <f t="shared" si="7"/>
        <v>3</v>
      </c>
      <c r="P46" s="142"/>
      <c r="Q46" s="140"/>
    </row>
    <row r="47" spans="1:17" x14ac:dyDescent="0.3">
      <c r="A47" s="20">
        <v>4</v>
      </c>
      <c r="B47" s="54" t="s">
        <v>47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f t="shared" si="5"/>
        <v>0</v>
      </c>
      <c r="N47" s="20">
        <f t="shared" si="6"/>
        <v>0</v>
      </c>
      <c r="O47" s="18">
        <f t="shared" si="7"/>
        <v>0</v>
      </c>
      <c r="P47" s="142"/>
      <c r="Q47" s="140"/>
    </row>
    <row r="48" spans="1:17" x14ac:dyDescent="0.3">
      <c r="A48" s="20">
        <v>5</v>
      </c>
      <c r="B48" s="54" t="s">
        <v>48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f t="shared" si="5"/>
        <v>0</v>
      </c>
      <c r="N48" s="20">
        <f t="shared" si="6"/>
        <v>0</v>
      </c>
      <c r="O48" s="18">
        <f t="shared" si="7"/>
        <v>0</v>
      </c>
      <c r="P48" s="142"/>
      <c r="Q48" s="140"/>
    </row>
    <row r="49" spans="1:75" x14ac:dyDescent="0.3">
      <c r="A49" s="20">
        <v>6</v>
      </c>
      <c r="B49" s="54" t="s">
        <v>49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f t="shared" si="5"/>
        <v>0</v>
      </c>
      <c r="N49" s="20">
        <f t="shared" si="6"/>
        <v>0</v>
      </c>
      <c r="O49" s="18">
        <f t="shared" si="7"/>
        <v>0</v>
      </c>
      <c r="P49" s="142"/>
      <c r="Q49" s="140"/>
    </row>
    <row r="50" spans="1:75" x14ac:dyDescent="0.3">
      <c r="A50" s="20">
        <v>7</v>
      </c>
      <c r="B50" s="54" t="s">
        <v>50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f t="shared" si="5"/>
        <v>0</v>
      </c>
      <c r="N50" s="20">
        <f t="shared" si="6"/>
        <v>0</v>
      </c>
      <c r="O50" s="18">
        <f t="shared" si="7"/>
        <v>0</v>
      </c>
      <c r="P50" s="142"/>
      <c r="Q50" s="140"/>
    </row>
    <row r="51" spans="1:75" x14ac:dyDescent="0.3">
      <c r="A51" s="234" t="s">
        <v>10</v>
      </c>
      <c r="B51" s="234"/>
      <c r="C51" s="132">
        <f>SUM(C44:C50)</f>
        <v>0</v>
      </c>
      <c r="D51" s="132">
        <f t="shared" ref="D51:N51" si="8">SUM(D44:D50)</f>
        <v>0</v>
      </c>
      <c r="E51" s="132">
        <f t="shared" si="8"/>
        <v>0</v>
      </c>
      <c r="F51" s="132">
        <f t="shared" si="8"/>
        <v>0</v>
      </c>
      <c r="G51" s="132">
        <f t="shared" si="8"/>
        <v>0</v>
      </c>
      <c r="H51" s="132">
        <f t="shared" si="8"/>
        <v>0</v>
      </c>
      <c r="I51" s="132">
        <f t="shared" si="8"/>
        <v>0</v>
      </c>
      <c r="J51" s="132">
        <f t="shared" si="8"/>
        <v>15</v>
      </c>
      <c r="K51" s="132">
        <f t="shared" si="8"/>
        <v>0</v>
      </c>
      <c r="L51" s="132">
        <f t="shared" si="8"/>
        <v>0</v>
      </c>
      <c r="M51" s="132">
        <f t="shared" si="8"/>
        <v>0</v>
      </c>
      <c r="N51" s="132">
        <f t="shared" si="8"/>
        <v>15</v>
      </c>
      <c r="O51" s="132">
        <f>SUM(O44:O50)</f>
        <v>15</v>
      </c>
      <c r="P51" s="143"/>
      <c r="Q51" s="140"/>
    </row>
    <row r="53" spans="1:75" x14ac:dyDescent="0.3">
      <c r="A53" s="112" t="s">
        <v>19</v>
      </c>
    </row>
    <row r="54" spans="1:75" x14ac:dyDescent="0.3">
      <c r="A54" s="1" t="s">
        <v>20</v>
      </c>
    </row>
    <row r="55" spans="1:75" ht="43.2" x14ac:dyDescent="0.3">
      <c r="A55" s="52" t="s">
        <v>6</v>
      </c>
      <c r="B55" s="52" t="s">
        <v>18</v>
      </c>
      <c r="C55" s="53" t="s">
        <v>84</v>
      </c>
      <c r="D55" s="53" t="s">
        <v>91</v>
      </c>
      <c r="E55" s="53" t="s">
        <v>92</v>
      </c>
      <c r="F55" s="53" t="s">
        <v>93</v>
      </c>
      <c r="G55" s="53" t="s">
        <v>85</v>
      </c>
      <c r="H55" s="53" t="s">
        <v>86</v>
      </c>
      <c r="I55" s="53" t="s">
        <v>10</v>
      </c>
    </row>
    <row r="56" spans="1:75" x14ac:dyDescent="0.3">
      <c r="A56" s="18">
        <v>1</v>
      </c>
      <c r="B56" s="56" t="s">
        <v>44</v>
      </c>
      <c r="C56" s="18">
        <v>65</v>
      </c>
      <c r="D56" s="18">
        <v>65</v>
      </c>
      <c r="E56" s="18">
        <v>53</v>
      </c>
      <c r="F56" s="18">
        <v>52</v>
      </c>
      <c r="G56" s="18">
        <v>52</v>
      </c>
      <c r="H56" s="18">
        <v>50</v>
      </c>
      <c r="I56" s="18">
        <f>SUM(C56:H56)</f>
        <v>337</v>
      </c>
    </row>
    <row r="57" spans="1:75" x14ac:dyDescent="0.3">
      <c r="A57" s="18">
        <v>2</v>
      </c>
      <c r="B57" s="56" t="s">
        <v>45</v>
      </c>
      <c r="C57" s="18">
        <v>99</v>
      </c>
      <c r="D57" s="18">
        <v>96</v>
      </c>
      <c r="E57" s="18">
        <v>89</v>
      </c>
      <c r="F57" s="18">
        <v>80</v>
      </c>
      <c r="G57" s="18">
        <v>80</v>
      </c>
      <c r="H57" s="18">
        <v>80</v>
      </c>
      <c r="I57" s="18">
        <f t="shared" ref="I57:I62" si="9">SUM(C57:H57)</f>
        <v>524</v>
      </c>
    </row>
    <row r="58" spans="1:75" x14ac:dyDescent="0.3">
      <c r="A58" s="18">
        <v>3</v>
      </c>
      <c r="B58" s="56" t="s">
        <v>46</v>
      </c>
      <c r="C58" s="18">
        <v>57</v>
      </c>
      <c r="D58" s="18">
        <v>53</v>
      </c>
      <c r="E58" s="18">
        <v>50</v>
      </c>
      <c r="F58" s="18">
        <v>50</v>
      </c>
      <c r="G58" s="18">
        <v>50</v>
      </c>
      <c r="H58" s="18">
        <v>50</v>
      </c>
      <c r="I58" s="18">
        <f t="shared" si="9"/>
        <v>310</v>
      </c>
    </row>
    <row r="59" spans="1:75" ht="15" thickBot="1" x14ac:dyDescent="0.35">
      <c r="A59" s="18">
        <v>4</v>
      </c>
      <c r="B59" s="56" t="s">
        <v>47</v>
      </c>
      <c r="C59" s="23">
        <v>5</v>
      </c>
      <c r="D59" s="23">
        <v>5</v>
      </c>
      <c r="E59" s="23">
        <v>5</v>
      </c>
      <c r="F59" s="23">
        <v>5</v>
      </c>
      <c r="G59" s="23">
        <v>5</v>
      </c>
      <c r="H59" s="23">
        <v>5</v>
      </c>
      <c r="I59" s="18">
        <f t="shared" si="9"/>
        <v>30</v>
      </c>
    </row>
    <row r="60" spans="1:75" x14ac:dyDescent="0.3">
      <c r="A60" s="18">
        <v>5</v>
      </c>
      <c r="B60" s="56" t="s">
        <v>48</v>
      </c>
      <c r="C60" s="27">
        <v>0</v>
      </c>
      <c r="D60" s="27">
        <v>0</v>
      </c>
      <c r="E60" s="27">
        <v>0</v>
      </c>
      <c r="F60" s="27">
        <v>0</v>
      </c>
      <c r="G60" s="27">
        <v>0</v>
      </c>
      <c r="H60" s="27">
        <v>0</v>
      </c>
      <c r="I60" s="18">
        <f t="shared" si="9"/>
        <v>0</v>
      </c>
      <c r="BU60" s="3"/>
    </row>
    <row r="61" spans="1:75" ht="15" thickBot="1" x14ac:dyDescent="0.35">
      <c r="A61" s="18">
        <v>6</v>
      </c>
      <c r="B61" s="56" t="s">
        <v>49</v>
      </c>
      <c r="C61" s="18">
        <v>4</v>
      </c>
      <c r="D61" s="18">
        <v>4</v>
      </c>
      <c r="E61" s="18">
        <v>4</v>
      </c>
      <c r="F61" s="18">
        <v>4</v>
      </c>
      <c r="G61" s="18">
        <v>4</v>
      </c>
      <c r="H61" s="18">
        <v>4</v>
      </c>
      <c r="I61" s="18">
        <f t="shared" si="9"/>
        <v>24</v>
      </c>
      <c r="BR61" s="4"/>
      <c r="BS61" s="4"/>
      <c r="BT61" s="4"/>
      <c r="BU61" s="4"/>
      <c r="BV61" s="4"/>
      <c r="BW61" s="4"/>
    </row>
    <row r="62" spans="1:75" ht="15" thickBot="1" x14ac:dyDescent="0.35">
      <c r="A62" s="18">
        <v>7</v>
      </c>
      <c r="B62" s="56" t="s">
        <v>50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f t="shared" si="9"/>
        <v>0</v>
      </c>
      <c r="BR62" s="4"/>
      <c r="BS62" s="4"/>
      <c r="BT62" s="4"/>
      <c r="BU62" s="4"/>
      <c r="BV62" s="4"/>
      <c r="BW62" s="4"/>
    </row>
    <row r="63" spans="1:75" ht="15" thickBot="1" x14ac:dyDescent="0.35">
      <c r="A63" s="226" t="s">
        <v>10</v>
      </c>
      <c r="B63" s="226"/>
      <c r="C63" s="65">
        <f>SUM(C56:C62)</f>
        <v>230</v>
      </c>
      <c r="D63" s="65">
        <f t="shared" ref="D63:H63" si="10">SUM(D56:D62)</f>
        <v>223</v>
      </c>
      <c r="E63" s="65">
        <f t="shared" si="10"/>
        <v>201</v>
      </c>
      <c r="F63" s="65">
        <f t="shared" si="10"/>
        <v>191</v>
      </c>
      <c r="G63" s="65">
        <f t="shared" si="10"/>
        <v>191</v>
      </c>
      <c r="H63" s="65">
        <f t="shared" si="10"/>
        <v>189</v>
      </c>
      <c r="I63" s="65">
        <f>SUM(I56:I62)</f>
        <v>1225</v>
      </c>
      <c r="BR63" s="4"/>
      <c r="BS63" s="4"/>
      <c r="BT63" s="4"/>
      <c r="BU63" s="4"/>
      <c r="BV63" s="4"/>
      <c r="BW63" s="4"/>
    </row>
    <row r="64" spans="1:75" ht="15" thickBot="1" x14ac:dyDescent="0.35">
      <c r="A64" s="1"/>
      <c r="BR64" s="4"/>
      <c r="BS64" s="4"/>
      <c r="BT64" s="4"/>
      <c r="BU64" s="4"/>
      <c r="BV64" s="4"/>
      <c r="BW64" s="4"/>
    </row>
    <row r="65" spans="1:76" ht="15" thickBot="1" x14ac:dyDescent="0.35">
      <c r="A65" s="255" t="s">
        <v>27</v>
      </c>
      <c r="B65" s="256"/>
      <c r="C65" s="256"/>
      <c r="D65" s="256"/>
      <c r="E65" s="256"/>
      <c r="F65" s="256"/>
      <c r="G65" s="256"/>
      <c r="H65" s="256"/>
      <c r="I65" s="256"/>
      <c r="J65" s="256"/>
      <c r="K65" s="256"/>
      <c r="L65" s="256"/>
      <c r="M65" s="256"/>
      <c r="N65" s="256"/>
      <c r="O65" s="256"/>
      <c r="P65" s="256"/>
      <c r="Q65" s="256"/>
      <c r="R65" s="256"/>
      <c r="S65" s="257"/>
      <c r="BR65" s="4"/>
      <c r="BS65" s="4"/>
      <c r="BT65" s="4"/>
      <c r="BU65" s="4"/>
      <c r="BV65" s="4"/>
      <c r="BW65" s="4"/>
    </row>
    <row r="66" spans="1:76" ht="43.8" thickBot="1" x14ac:dyDescent="0.35">
      <c r="A66" s="60" t="s">
        <v>6</v>
      </c>
      <c r="B66" s="60" t="s">
        <v>18</v>
      </c>
      <c r="C66" s="227" t="s">
        <v>84</v>
      </c>
      <c r="D66" s="227"/>
      <c r="E66" s="227" t="s">
        <v>68</v>
      </c>
      <c r="F66" s="227"/>
      <c r="G66" s="227" t="s">
        <v>69</v>
      </c>
      <c r="H66" s="227"/>
      <c r="I66" s="227" t="s">
        <v>39</v>
      </c>
      <c r="J66" s="227"/>
      <c r="K66" s="227" t="s">
        <v>70</v>
      </c>
      <c r="L66" s="227"/>
      <c r="M66" s="227" t="s">
        <v>40</v>
      </c>
      <c r="N66" s="227"/>
      <c r="O66" s="227" t="s">
        <v>10</v>
      </c>
      <c r="P66" s="227"/>
      <c r="Q66" s="227"/>
      <c r="BR66" s="4"/>
      <c r="BS66" s="4"/>
      <c r="BT66" s="4"/>
      <c r="BU66" s="4"/>
      <c r="BV66" s="4"/>
      <c r="BW66" s="4"/>
    </row>
    <row r="67" spans="1:76" ht="15" thickBot="1" x14ac:dyDescent="0.35">
      <c r="A67" s="75"/>
      <c r="B67" s="75"/>
      <c r="C67" s="133" t="s">
        <v>29</v>
      </c>
      <c r="D67" s="133" t="s">
        <v>30</v>
      </c>
      <c r="E67" s="133" t="s">
        <v>29</v>
      </c>
      <c r="F67" s="133" t="s">
        <v>30</v>
      </c>
      <c r="G67" s="133" t="s">
        <v>29</v>
      </c>
      <c r="H67" s="133" t="s">
        <v>30</v>
      </c>
      <c r="I67" s="133" t="s">
        <v>29</v>
      </c>
      <c r="J67" s="133" t="s">
        <v>30</v>
      </c>
      <c r="K67" s="133" t="s">
        <v>29</v>
      </c>
      <c r="L67" s="133" t="s">
        <v>30</v>
      </c>
      <c r="M67" s="133" t="s">
        <v>29</v>
      </c>
      <c r="N67" s="133" t="s">
        <v>30</v>
      </c>
      <c r="O67" s="133" t="s">
        <v>29</v>
      </c>
      <c r="P67" s="133" t="s">
        <v>30</v>
      </c>
      <c r="Q67" s="133" t="s">
        <v>62</v>
      </c>
      <c r="BR67" s="4"/>
      <c r="BS67" s="4"/>
      <c r="BT67" s="4"/>
      <c r="BU67" s="4"/>
      <c r="BV67" s="4"/>
      <c r="BW67" s="4"/>
    </row>
    <row r="68" spans="1:76" ht="15" thickBot="1" x14ac:dyDescent="0.35">
      <c r="A68" s="14">
        <v>1</v>
      </c>
      <c r="B68" s="54" t="s">
        <v>44</v>
      </c>
      <c r="C68" s="18">
        <v>1171</v>
      </c>
      <c r="D68" s="18">
        <v>1111</v>
      </c>
      <c r="E68" s="18">
        <v>1048</v>
      </c>
      <c r="F68" s="18">
        <v>1021</v>
      </c>
      <c r="G68" s="18">
        <v>921</v>
      </c>
      <c r="H68" s="18">
        <v>890</v>
      </c>
      <c r="I68" s="18">
        <v>882</v>
      </c>
      <c r="J68" s="18">
        <v>851</v>
      </c>
      <c r="K68" s="18">
        <v>1200</v>
      </c>
      <c r="L68" s="18">
        <v>950</v>
      </c>
      <c r="M68" s="18">
        <v>429</v>
      </c>
      <c r="N68" s="18">
        <v>401</v>
      </c>
      <c r="O68" s="20">
        <f>SUM(C68+E68+G68+I68+K68+M68)</f>
        <v>5651</v>
      </c>
      <c r="P68" s="20">
        <f>SUM(D68+F68+H68+J68+L68+N68)</f>
        <v>5224</v>
      </c>
      <c r="Q68" s="20">
        <f>P68+O68</f>
        <v>10875</v>
      </c>
      <c r="BR68" s="4"/>
      <c r="BS68" s="4"/>
      <c r="BT68" s="4"/>
      <c r="BU68" s="4"/>
      <c r="BV68" s="4"/>
      <c r="BW68" s="4"/>
    </row>
    <row r="69" spans="1:76" x14ac:dyDescent="0.3">
      <c r="A69" s="14">
        <v>2</v>
      </c>
      <c r="B69" s="54" t="s">
        <v>45</v>
      </c>
      <c r="C69" s="18">
        <v>2997</v>
      </c>
      <c r="D69" s="18">
        <v>2278</v>
      </c>
      <c r="E69" s="18">
        <v>2863</v>
      </c>
      <c r="F69" s="18">
        <v>1268</v>
      </c>
      <c r="G69" s="18">
        <v>1810</v>
      </c>
      <c r="H69" s="18">
        <v>1023</v>
      </c>
      <c r="I69" s="18">
        <v>1458</v>
      </c>
      <c r="J69" s="18">
        <v>987</v>
      </c>
      <c r="K69" s="18">
        <v>1468</v>
      </c>
      <c r="L69" s="18">
        <v>1552</v>
      </c>
      <c r="M69" s="18">
        <v>2446</v>
      </c>
      <c r="N69" s="18">
        <v>1103</v>
      </c>
      <c r="O69" s="20">
        <f t="shared" ref="O69:O74" si="11">SUM(C69+E69+G69+I69+K69+M69)</f>
        <v>13042</v>
      </c>
      <c r="P69" s="20">
        <f t="shared" ref="P69:P74" si="12">SUM(D69+F69+H69+J69+L69+N69)</f>
        <v>8211</v>
      </c>
      <c r="Q69" s="20">
        <f t="shared" ref="Q69:Q74" si="13">P69+O69</f>
        <v>21253</v>
      </c>
    </row>
    <row r="70" spans="1:76" x14ac:dyDescent="0.3">
      <c r="A70" s="14">
        <v>3</v>
      </c>
      <c r="B70" s="54" t="s">
        <v>46</v>
      </c>
      <c r="C70" s="18">
        <v>2250</v>
      </c>
      <c r="D70" s="18">
        <v>1694</v>
      </c>
      <c r="E70" s="18">
        <v>1990</v>
      </c>
      <c r="F70" s="18">
        <v>1422</v>
      </c>
      <c r="G70" s="18">
        <v>1632</v>
      </c>
      <c r="H70" s="18">
        <f>1413-57</f>
        <v>1356</v>
      </c>
      <c r="I70" s="18">
        <v>3347</v>
      </c>
      <c r="J70" s="18">
        <v>1173</v>
      </c>
      <c r="K70" s="18">
        <v>2048</v>
      </c>
      <c r="L70" s="18">
        <v>814</v>
      </c>
      <c r="M70" s="18">
        <v>568</v>
      </c>
      <c r="N70" s="18">
        <v>410</v>
      </c>
      <c r="O70" s="20">
        <f t="shared" si="11"/>
        <v>11835</v>
      </c>
      <c r="P70" s="20">
        <f t="shared" si="12"/>
        <v>6869</v>
      </c>
      <c r="Q70" s="20">
        <f t="shared" si="13"/>
        <v>18704</v>
      </c>
      <c r="BW70" s="61"/>
      <c r="BX70" s="61"/>
    </row>
    <row r="71" spans="1:76" x14ac:dyDescent="0.3">
      <c r="A71" s="14">
        <v>4</v>
      </c>
      <c r="B71" s="54" t="s">
        <v>47</v>
      </c>
      <c r="C71" s="23">
        <v>181</v>
      </c>
      <c r="D71" s="23">
        <v>161</v>
      </c>
      <c r="E71" s="23">
        <v>175</v>
      </c>
      <c r="F71" s="23">
        <v>149</v>
      </c>
      <c r="G71" s="23">
        <v>154</v>
      </c>
      <c r="H71" s="23">
        <v>122</v>
      </c>
      <c r="I71" s="23">
        <v>124</v>
      </c>
      <c r="J71" s="23">
        <v>73</v>
      </c>
      <c r="K71" s="23">
        <v>111</v>
      </c>
      <c r="L71" s="23">
        <v>64</v>
      </c>
      <c r="M71" s="23">
        <v>63</v>
      </c>
      <c r="N71" s="23">
        <v>34</v>
      </c>
      <c r="O71" s="20">
        <f t="shared" si="11"/>
        <v>808</v>
      </c>
      <c r="P71" s="20">
        <f t="shared" si="12"/>
        <v>603</v>
      </c>
      <c r="Q71" s="20">
        <f t="shared" si="13"/>
        <v>1411</v>
      </c>
      <c r="BW71" s="75"/>
      <c r="BX71" s="75"/>
    </row>
    <row r="72" spans="1:76" x14ac:dyDescent="0.3">
      <c r="A72" s="14">
        <v>5</v>
      </c>
      <c r="B72" s="54" t="s">
        <v>48</v>
      </c>
      <c r="C72" s="27">
        <v>0</v>
      </c>
      <c r="D72" s="27">
        <v>0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20">
        <f t="shared" si="11"/>
        <v>0</v>
      </c>
      <c r="P72" s="20">
        <f t="shared" si="12"/>
        <v>0</v>
      </c>
      <c r="Q72" s="20">
        <f t="shared" si="13"/>
        <v>0</v>
      </c>
      <c r="BW72" s="24"/>
      <c r="BX72" s="24"/>
    </row>
    <row r="73" spans="1:76" x14ac:dyDescent="0.3">
      <c r="A73" s="14">
        <v>6</v>
      </c>
      <c r="B73" s="54" t="s">
        <v>49</v>
      </c>
      <c r="C73" s="18">
        <v>177</v>
      </c>
      <c r="D73" s="18">
        <v>102</v>
      </c>
      <c r="E73" s="18">
        <v>168</v>
      </c>
      <c r="F73" s="18">
        <v>143</v>
      </c>
      <c r="G73" s="18">
        <v>124</v>
      </c>
      <c r="H73" s="18">
        <v>114</v>
      </c>
      <c r="I73" s="18">
        <v>115</v>
      </c>
      <c r="J73" s="18">
        <v>111</v>
      </c>
      <c r="K73" s="18">
        <v>135</v>
      </c>
      <c r="L73" s="18">
        <v>86</v>
      </c>
      <c r="M73" s="18">
        <v>107</v>
      </c>
      <c r="N73" s="18">
        <v>50</v>
      </c>
      <c r="O73" s="20">
        <f t="shared" si="11"/>
        <v>826</v>
      </c>
      <c r="P73" s="20">
        <f>SUM(D73+F73+H73+J73+L73+N73)</f>
        <v>606</v>
      </c>
      <c r="Q73" s="20">
        <f t="shared" si="13"/>
        <v>1432</v>
      </c>
      <c r="BW73" s="24"/>
      <c r="BX73" s="24"/>
    </row>
    <row r="74" spans="1:76" x14ac:dyDescent="0.3">
      <c r="A74" s="14">
        <v>7</v>
      </c>
      <c r="B74" s="54" t="s">
        <v>50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f t="shared" si="11"/>
        <v>0</v>
      </c>
      <c r="P74" s="20">
        <f t="shared" si="12"/>
        <v>0</v>
      </c>
      <c r="Q74" s="20">
        <f t="shared" si="13"/>
        <v>0</v>
      </c>
      <c r="BW74" s="24"/>
      <c r="BX74" s="24"/>
    </row>
    <row r="75" spans="1:76" x14ac:dyDescent="0.3">
      <c r="A75" s="234" t="s">
        <v>10</v>
      </c>
      <c r="B75" s="234"/>
      <c r="C75" s="132">
        <f>SUM(C68:C74)</f>
        <v>6776</v>
      </c>
      <c r="D75" s="132">
        <f t="shared" ref="D75:Q75" si="14">SUM(D68:D74)</f>
        <v>5346</v>
      </c>
      <c r="E75" s="132">
        <f t="shared" si="14"/>
        <v>6244</v>
      </c>
      <c r="F75" s="132">
        <f t="shared" si="14"/>
        <v>4003</v>
      </c>
      <c r="G75" s="132">
        <f t="shared" si="14"/>
        <v>4641</v>
      </c>
      <c r="H75" s="132">
        <f t="shared" si="14"/>
        <v>3505</v>
      </c>
      <c r="I75" s="132">
        <f t="shared" si="14"/>
        <v>5926</v>
      </c>
      <c r="J75" s="132">
        <f t="shared" si="14"/>
        <v>3195</v>
      </c>
      <c r="K75" s="132">
        <f t="shared" si="14"/>
        <v>4962</v>
      </c>
      <c r="L75" s="132">
        <f t="shared" si="14"/>
        <v>3466</v>
      </c>
      <c r="M75" s="132">
        <f t="shared" si="14"/>
        <v>3613</v>
      </c>
      <c r="N75" s="132">
        <f t="shared" si="14"/>
        <v>1998</v>
      </c>
      <c r="O75" s="132">
        <f t="shared" si="14"/>
        <v>32162</v>
      </c>
      <c r="P75" s="132">
        <f t="shared" si="14"/>
        <v>21513</v>
      </c>
      <c r="Q75" s="132">
        <f t="shared" si="14"/>
        <v>53675</v>
      </c>
      <c r="BW75" s="51"/>
      <c r="BX75" s="51"/>
    </row>
    <row r="76" spans="1:76" x14ac:dyDescent="0.3">
      <c r="A76" s="1"/>
      <c r="O76" s="124"/>
      <c r="P76" s="124"/>
      <c r="Q76" s="124"/>
    </row>
    <row r="77" spans="1:76" x14ac:dyDescent="0.3">
      <c r="A77" s="1" t="s">
        <v>31</v>
      </c>
      <c r="BW77" s="24"/>
      <c r="BX77" s="24"/>
    </row>
    <row r="78" spans="1:76" ht="43.2" x14ac:dyDescent="0.3">
      <c r="A78" s="60" t="s">
        <v>6</v>
      </c>
      <c r="B78" s="60" t="s">
        <v>18</v>
      </c>
      <c r="C78" s="227" t="s">
        <v>64</v>
      </c>
      <c r="D78" s="227"/>
      <c r="E78" s="227" t="s">
        <v>63</v>
      </c>
      <c r="F78" s="227"/>
      <c r="G78" s="227" t="s">
        <v>66</v>
      </c>
      <c r="H78" s="227"/>
      <c r="I78" s="227" t="s">
        <v>61</v>
      </c>
      <c r="J78" s="227"/>
      <c r="K78" s="252" t="s">
        <v>71</v>
      </c>
      <c r="L78" s="253"/>
      <c r="M78" s="254"/>
      <c r="BW78" s="14"/>
      <c r="BX78" s="14"/>
    </row>
    <row r="79" spans="1:76" x14ac:dyDescent="0.3">
      <c r="A79" s="75"/>
      <c r="B79" s="73"/>
      <c r="C79" s="133" t="s">
        <v>43</v>
      </c>
      <c r="D79" s="133" t="s">
        <v>30</v>
      </c>
      <c r="E79" s="133" t="s">
        <v>43</v>
      </c>
      <c r="F79" s="133" t="s">
        <v>30</v>
      </c>
      <c r="G79" s="133" t="s">
        <v>43</v>
      </c>
      <c r="H79" s="133" t="s">
        <v>30</v>
      </c>
      <c r="I79" s="133" t="s">
        <v>43</v>
      </c>
      <c r="J79" s="133" t="s">
        <v>30</v>
      </c>
      <c r="K79" s="133" t="s">
        <v>43</v>
      </c>
      <c r="L79" s="133" t="s">
        <v>30</v>
      </c>
      <c r="M79" s="133" t="s">
        <v>67</v>
      </c>
      <c r="BW79" s="62"/>
      <c r="BX79" s="62"/>
    </row>
    <row r="80" spans="1:76" x14ac:dyDescent="0.3">
      <c r="A80" s="20">
        <v>1</v>
      </c>
      <c r="B80" s="63" t="s">
        <v>44</v>
      </c>
      <c r="C80" s="20">
        <v>0</v>
      </c>
      <c r="D80" s="20">
        <v>0</v>
      </c>
      <c r="E80" s="20">
        <v>0</v>
      </c>
      <c r="F80" s="20">
        <v>0</v>
      </c>
      <c r="G80" s="20">
        <v>311</v>
      </c>
      <c r="H80" s="20">
        <v>26</v>
      </c>
      <c r="I80" s="20">
        <v>0</v>
      </c>
      <c r="J80" s="20">
        <v>0</v>
      </c>
      <c r="K80" s="20">
        <f>I80+G80+E80+C80</f>
        <v>311</v>
      </c>
      <c r="L80" s="20">
        <f>J80+H80+F80+D80</f>
        <v>26</v>
      </c>
      <c r="M80" s="20">
        <f>L80+K80</f>
        <v>337</v>
      </c>
    </row>
    <row r="81" spans="1:13" ht="15" thickBot="1" x14ac:dyDescent="0.35">
      <c r="A81" s="20">
        <v>2</v>
      </c>
      <c r="B81" s="55" t="s">
        <v>45</v>
      </c>
      <c r="C81" s="20">
        <v>0</v>
      </c>
      <c r="D81" s="20">
        <v>0</v>
      </c>
      <c r="E81" s="20">
        <v>0</v>
      </c>
      <c r="F81" s="20">
        <v>0</v>
      </c>
      <c r="G81" s="20">
        <v>459</v>
      </c>
      <c r="H81" s="20">
        <v>65</v>
      </c>
      <c r="I81" s="20">
        <v>0</v>
      </c>
      <c r="J81" s="20">
        <v>0</v>
      </c>
      <c r="K81" s="20">
        <f t="shared" ref="K81:K86" si="15">I81+G81+E81+C81</f>
        <v>459</v>
      </c>
      <c r="L81" s="20">
        <f t="shared" ref="L81:L86" si="16">J81+H81+F81+D81</f>
        <v>65</v>
      </c>
      <c r="M81" s="20">
        <f t="shared" ref="M81:M86" si="17">L81+K81</f>
        <v>524</v>
      </c>
    </row>
    <row r="82" spans="1:13" ht="15" thickBot="1" x14ac:dyDescent="0.35">
      <c r="A82" s="20">
        <v>3</v>
      </c>
      <c r="B82" s="55" t="s">
        <v>46</v>
      </c>
      <c r="C82" s="20">
        <v>0</v>
      </c>
      <c r="D82" s="20">
        <v>0</v>
      </c>
      <c r="E82" s="20">
        <v>0</v>
      </c>
      <c r="F82" s="20">
        <v>0</v>
      </c>
      <c r="G82" s="20">
        <v>266</v>
      </c>
      <c r="H82" s="20">
        <v>44</v>
      </c>
      <c r="I82" s="20">
        <v>0</v>
      </c>
      <c r="J82" s="20">
        <v>0</v>
      </c>
      <c r="K82" s="20">
        <f t="shared" si="15"/>
        <v>266</v>
      </c>
      <c r="L82" s="20">
        <f t="shared" si="16"/>
        <v>44</v>
      </c>
      <c r="M82" s="20">
        <f t="shared" si="17"/>
        <v>310</v>
      </c>
    </row>
    <row r="83" spans="1:13" ht="15" thickBot="1" x14ac:dyDescent="0.35">
      <c r="A83" s="20">
        <v>4</v>
      </c>
      <c r="B83" s="55" t="s">
        <v>47</v>
      </c>
      <c r="C83" s="20">
        <v>0</v>
      </c>
      <c r="D83" s="20">
        <v>0</v>
      </c>
      <c r="E83" s="20">
        <v>0</v>
      </c>
      <c r="F83" s="20">
        <v>0</v>
      </c>
      <c r="G83" s="20">
        <v>29</v>
      </c>
      <c r="H83" s="20">
        <v>1</v>
      </c>
      <c r="I83" s="20">
        <v>0</v>
      </c>
      <c r="J83" s="20">
        <v>0</v>
      </c>
      <c r="K83" s="20">
        <f t="shared" si="15"/>
        <v>29</v>
      </c>
      <c r="L83" s="20">
        <f t="shared" si="16"/>
        <v>1</v>
      </c>
      <c r="M83" s="20">
        <f t="shared" si="17"/>
        <v>30</v>
      </c>
    </row>
    <row r="84" spans="1:13" ht="15" thickBot="1" x14ac:dyDescent="0.35">
      <c r="A84" s="20">
        <v>5</v>
      </c>
      <c r="B84" s="55" t="s">
        <v>48</v>
      </c>
      <c r="C84" s="20">
        <v>0</v>
      </c>
      <c r="D84" s="20">
        <v>0</v>
      </c>
      <c r="E84" s="20">
        <v>0</v>
      </c>
      <c r="F84" s="20">
        <v>0</v>
      </c>
      <c r="G84" s="20">
        <f>I84-H84</f>
        <v>0</v>
      </c>
      <c r="H84" s="20">
        <v>0</v>
      </c>
      <c r="I84" s="20">
        <v>0</v>
      </c>
      <c r="J84" s="20">
        <v>0</v>
      </c>
      <c r="K84" s="20">
        <f t="shared" si="15"/>
        <v>0</v>
      </c>
      <c r="L84" s="20">
        <f t="shared" si="16"/>
        <v>0</v>
      </c>
      <c r="M84" s="20">
        <f t="shared" si="17"/>
        <v>0</v>
      </c>
    </row>
    <row r="85" spans="1:13" ht="15" thickBot="1" x14ac:dyDescent="0.35">
      <c r="A85" s="20">
        <v>6</v>
      </c>
      <c r="B85" s="55" t="s">
        <v>49</v>
      </c>
      <c r="C85" s="20">
        <v>0</v>
      </c>
      <c r="D85" s="20">
        <v>0</v>
      </c>
      <c r="E85" s="20">
        <v>0</v>
      </c>
      <c r="F85" s="20">
        <v>0</v>
      </c>
      <c r="G85" s="20">
        <v>20</v>
      </c>
      <c r="H85" s="20">
        <v>4</v>
      </c>
      <c r="I85" s="20">
        <v>0</v>
      </c>
      <c r="J85" s="20">
        <v>0</v>
      </c>
      <c r="K85" s="20">
        <f t="shared" si="15"/>
        <v>20</v>
      </c>
      <c r="L85" s="20">
        <f t="shared" si="16"/>
        <v>4</v>
      </c>
      <c r="M85" s="20">
        <f t="shared" si="17"/>
        <v>24</v>
      </c>
    </row>
    <row r="86" spans="1:13" ht="15" thickBot="1" x14ac:dyDescent="0.35">
      <c r="A86" s="20">
        <v>7</v>
      </c>
      <c r="B86" s="55" t="s">
        <v>50</v>
      </c>
      <c r="C86" s="20">
        <v>0</v>
      </c>
      <c r="D86" s="20">
        <v>0</v>
      </c>
      <c r="E86" s="20">
        <v>0</v>
      </c>
      <c r="F86" s="20">
        <v>0</v>
      </c>
      <c r="G86" s="20">
        <f>I86-H86</f>
        <v>0</v>
      </c>
      <c r="H86" s="20">
        <v>0</v>
      </c>
      <c r="I86" s="20">
        <v>0</v>
      </c>
      <c r="J86" s="20">
        <v>0</v>
      </c>
      <c r="K86" s="20">
        <f t="shared" si="15"/>
        <v>0</v>
      </c>
      <c r="L86" s="20">
        <f t="shared" si="16"/>
        <v>0</v>
      </c>
      <c r="M86" s="20">
        <f t="shared" si="17"/>
        <v>0</v>
      </c>
    </row>
    <row r="87" spans="1:13" x14ac:dyDescent="0.3">
      <c r="A87" s="234" t="s">
        <v>10</v>
      </c>
      <c r="B87" s="234"/>
      <c r="C87" s="132">
        <f>SUM(C80:C86)</f>
        <v>0</v>
      </c>
      <c r="D87" s="132">
        <f t="shared" ref="D87:M87" si="18">SUM(D80:D86)</f>
        <v>0</v>
      </c>
      <c r="E87" s="132">
        <f t="shared" si="18"/>
        <v>0</v>
      </c>
      <c r="F87" s="132">
        <f t="shared" si="18"/>
        <v>0</v>
      </c>
      <c r="G87" s="132">
        <f t="shared" si="18"/>
        <v>1085</v>
      </c>
      <c r="H87" s="132">
        <f t="shared" si="18"/>
        <v>140</v>
      </c>
      <c r="I87" s="132">
        <f t="shared" si="18"/>
        <v>0</v>
      </c>
      <c r="J87" s="132">
        <f t="shared" si="18"/>
        <v>0</v>
      </c>
      <c r="K87" s="132">
        <f t="shared" si="18"/>
        <v>1085</v>
      </c>
      <c r="L87" s="132">
        <f t="shared" si="18"/>
        <v>140</v>
      </c>
      <c r="M87" s="132">
        <f t="shared" si="18"/>
        <v>1225</v>
      </c>
    </row>
    <row r="88" spans="1:13" x14ac:dyDescent="0.3">
      <c r="A88" s="1"/>
    </row>
    <row r="89" spans="1:13" x14ac:dyDescent="0.3">
      <c r="A89" s="1"/>
    </row>
    <row r="90" spans="1:13" x14ac:dyDescent="0.3">
      <c r="A90" s="112" t="s">
        <v>32</v>
      </c>
    </row>
    <row r="91" spans="1:13" ht="15" thickBot="1" x14ac:dyDescent="0.35">
      <c r="A91" s="1" t="s">
        <v>33</v>
      </c>
    </row>
    <row r="92" spans="1:13" ht="43.2" x14ac:dyDescent="0.3">
      <c r="A92" s="57" t="s">
        <v>6</v>
      </c>
      <c r="B92" s="58" t="s">
        <v>41</v>
      </c>
      <c r="C92" s="138" t="s">
        <v>79</v>
      </c>
      <c r="D92" s="139" t="s">
        <v>42</v>
      </c>
      <c r="E92" s="138" t="s">
        <v>80</v>
      </c>
      <c r="F92" s="138" t="s">
        <v>81</v>
      </c>
      <c r="G92" s="138" t="s">
        <v>82</v>
      </c>
      <c r="H92" s="138" t="s">
        <v>83</v>
      </c>
      <c r="I92" s="138" t="s">
        <v>10</v>
      </c>
    </row>
    <row r="93" spans="1:13" ht="15" thickBot="1" x14ac:dyDescent="0.35">
      <c r="A93" s="116">
        <v>1</v>
      </c>
      <c r="B93" s="56" t="s">
        <v>44</v>
      </c>
      <c r="C93" s="19">
        <v>27</v>
      </c>
      <c r="D93" s="19">
        <v>27</v>
      </c>
      <c r="E93" s="19">
        <v>27</v>
      </c>
      <c r="F93" s="19">
        <v>25</v>
      </c>
      <c r="G93" s="19">
        <v>23</v>
      </c>
      <c r="H93" s="19">
        <v>23</v>
      </c>
      <c r="I93" s="19">
        <f>SUM(C93:H93)</f>
        <v>152</v>
      </c>
    </row>
    <row r="94" spans="1:13" ht="15" thickBot="1" x14ac:dyDescent="0.35">
      <c r="A94" s="116">
        <v>2</v>
      </c>
      <c r="B94" s="55" t="s">
        <v>45</v>
      </c>
      <c r="C94" s="19">
        <v>29</v>
      </c>
      <c r="D94" s="19">
        <v>29</v>
      </c>
      <c r="E94" s="19">
        <v>28</v>
      </c>
      <c r="F94" s="19">
        <v>28</v>
      </c>
      <c r="G94" s="19">
        <v>27</v>
      </c>
      <c r="H94" s="19">
        <v>27</v>
      </c>
      <c r="I94" s="19">
        <f t="shared" ref="I94:I99" si="19">SUM(C94:H94)</f>
        <v>168</v>
      </c>
    </row>
    <row r="95" spans="1:13" ht="15" thickBot="1" x14ac:dyDescent="0.35">
      <c r="A95" s="116">
        <v>3</v>
      </c>
      <c r="B95" s="55" t="s">
        <v>46</v>
      </c>
      <c r="C95" s="19">
        <v>15</v>
      </c>
      <c r="D95" s="19">
        <v>15</v>
      </c>
      <c r="E95" s="19">
        <v>13</v>
      </c>
      <c r="F95" s="19">
        <v>13</v>
      </c>
      <c r="G95" s="19">
        <v>13</v>
      </c>
      <c r="H95" s="19">
        <v>13</v>
      </c>
      <c r="I95" s="19">
        <f t="shared" si="19"/>
        <v>82</v>
      </c>
    </row>
    <row r="96" spans="1:13" ht="15" thickBot="1" x14ac:dyDescent="0.35">
      <c r="A96" s="116">
        <v>4</v>
      </c>
      <c r="B96" s="55" t="s">
        <v>47</v>
      </c>
      <c r="C96" s="19">
        <v>1</v>
      </c>
      <c r="D96" s="19">
        <v>1</v>
      </c>
      <c r="E96" s="19">
        <v>1</v>
      </c>
      <c r="F96" s="19">
        <v>1</v>
      </c>
      <c r="G96" s="19">
        <v>1</v>
      </c>
      <c r="H96" s="19">
        <v>1</v>
      </c>
      <c r="I96" s="19">
        <f t="shared" si="19"/>
        <v>6</v>
      </c>
    </row>
    <row r="97" spans="1:91" ht="15" thickBot="1" x14ac:dyDescent="0.35">
      <c r="A97" s="116">
        <v>5</v>
      </c>
      <c r="B97" s="55" t="s">
        <v>48</v>
      </c>
      <c r="C97" s="19">
        <v>0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f t="shared" si="19"/>
        <v>0</v>
      </c>
    </row>
    <row r="98" spans="1:91" ht="15" thickBot="1" x14ac:dyDescent="0.35">
      <c r="A98" s="116">
        <v>6</v>
      </c>
      <c r="B98" s="55" t="s">
        <v>49</v>
      </c>
      <c r="C98" s="19">
        <v>4</v>
      </c>
      <c r="D98" s="19">
        <v>4</v>
      </c>
      <c r="E98" s="19">
        <v>4</v>
      </c>
      <c r="F98" s="19">
        <v>4</v>
      </c>
      <c r="G98" s="19">
        <v>4</v>
      </c>
      <c r="H98" s="19">
        <v>4</v>
      </c>
      <c r="I98" s="19">
        <f t="shared" si="19"/>
        <v>24</v>
      </c>
      <c r="CK98" s="2"/>
    </row>
    <row r="99" spans="1:91" ht="15" thickBot="1" x14ac:dyDescent="0.35">
      <c r="A99" s="116">
        <v>7</v>
      </c>
      <c r="B99" s="55" t="s">
        <v>50</v>
      </c>
      <c r="C99" s="19">
        <v>0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f t="shared" si="19"/>
        <v>0</v>
      </c>
      <c r="CH99" s="4"/>
      <c r="CI99" s="4"/>
      <c r="CJ99" s="4"/>
      <c r="CK99" s="4"/>
      <c r="CL99" s="4"/>
      <c r="CM99" s="4"/>
    </row>
    <row r="100" spans="1:91" ht="15" thickBot="1" x14ac:dyDescent="0.35">
      <c r="A100" s="246" t="s">
        <v>10</v>
      </c>
      <c r="B100" s="247"/>
      <c r="C100" s="131">
        <f>SUM(C93:C99)</f>
        <v>76</v>
      </c>
      <c r="D100" s="131">
        <f t="shared" ref="D100:I100" si="20">SUM(D93:D99)</f>
        <v>76</v>
      </c>
      <c r="E100" s="131">
        <f t="shared" si="20"/>
        <v>73</v>
      </c>
      <c r="F100" s="131">
        <f t="shared" si="20"/>
        <v>71</v>
      </c>
      <c r="G100" s="131">
        <f t="shared" si="20"/>
        <v>68</v>
      </c>
      <c r="H100" s="131">
        <f t="shared" si="20"/>
        <v>68</v>
      </c>
      <c r="I100" s="131">
        <f t="shared" si="20"/>
        <v>432</v>
      </c>
      <c r="CH100" s="4"/>
      <c r="CI100" s="4"/>
      <c r="CJ100" s="4"/>
      <c r="CK100" s="4"/>
      <c r="CL100" s="4"/>
      <c r="CM100" s="4"/>
    </row>
    <row r="101" spans="1:91" ht="15" thickBot="1" x14ac:dyDescent="0.35">
      <c r="A101" s="1"/>
      <c r="CH101" s="4"/>
      <c r="CI101" s="4"/>
      <c r="CJ101" s="4"/>
      <c r="CK101" s="4"/>
      <c r="CL101" s="4"/>
      <c r="CM101" s="4"/>
    </row>
    <row r="102" spans="1:91" ht="15" thickBot="1" x14ac:dyDescent="0.35">
      <c r="A102" s="1" t="s">
        <v>37</v>
      </c>
      <c r="CH102" s="4"/>
      <c r="CI102" s="4"/>
      <c r="CJ102" s="4"/>
      <c r="CK102" s="4"/>
      <c r="CL102" s="4"/>
      <c r="CM102" s="4"/>
    </row>
    <row r="103" spans="1:91" ht="10.199999999999999" customHeight="1" thickBot="1" x14ac:dyDescent="0.35">
      <c r="A103" s="1"/>
      <c r="CH103" s="4"/>
      <c r="CI103" s="4"/>
      <c r="CJ103" s="4"/>
      <c r="CK103" s="4"/>
      <c r="CL103" s="4"/>
      <c r="CM103" s="4"/>
    </row>
    <row r="104" spans="1:91" ht="52.8" customHeight="1" thickBot="1" x14ac:dyDescent="0.35">
      <c r="A104" s="59" t="s">
        <v>6</v>
      </c>
      <c r="B104" s="60" t="s">
        <v>18</v>
      </c>
      <c r="C104" s="227" t="s">
        <v>79</v>
      </c>
      <c r="D104" s="227"/>
      <c r="E104" s="227" t="s">
        <v>42</v>
      </c>
      <c r="F104" s="227"/>
      <c r="G104" s="227" t="s">
        <v>80</v>
      </c>
      <c r="H104" s="227"/>
      <c r="I104" s="227" t="s">
        <v>81</v>
      </c>
      <c r="J104" s="227"/>
      <c r="K104" s="227" t="s">
        <v>82</v>
      </c>
      <c r="L104" s="227"/>
      <c r="M104" s="227" t="s">
        <v>83</v>
      </c>
      <c r="N104" s="227"/>
      <c r="O104" s="227" t="s">
        <v>10</v>
      </c>
      <c r="P104" s="227"/>
      <c r="Q104" s="227"/>
      <c r="CH104" s="4"/>
      <c r="CI104" s="4"/>
      <c r="CJ104" s="4"/>
      <c r="CK104" s="4"/>
      <c r="CL104" s="4"/>
      <c r="CM104" s="4"/>
    </row>
    <row r="105" spans="1:91" ht="15" thickBot="1" x14ac:dyDescent="0.35">
      <c r="A105" s="71"/>
      <c r="B105" s="72"/>
      <c r="C105" s="144" t="s">
        <v>29</v>
      </c>
      <c r="D105" s="144" t="s">
        <v>30</v>
      </c>
      <c r="E105" s="144" t="s">
        <v>29</v>
      </c>
      <c r="F105" s="144" t="s">
        <v>30</v>
      </c>
      <c r="G105" s="144" t="s">
        <v>29</v>
      </c>
      <c r="H105" s="144" t="s">
        <v>30</v>
      </c>
      <c r="I105" s="144" t="s">
        <v>29</v>
      </c>
      <c r="J105" s="144" t="s">
        <v>30</v>
      </c>
      <c r="K105" s="144" t="s">
        <v>29</v>
      </c>
      <c r="L105" s="144" t="s">
        <v>30</v>
      </c>
      <c r="M105" s="144" t="s">
        <v>29</v>
      </c>
      <c r="N105" s="144" t="s">
        <v>30</v>
      </c>
      <c r="O105" s="144" t="s">
        <v>29</v>
      </c>
      <c r="P105" s="144" t="s">
        <v>30</v>
      </c>
      <c r="Q105" s="144" t="s">
        <v>62</v>
      </c>
      <c r="CH105" s="4"/>
      <c r="CI105" s="4"/>
      <c r="CJ105" s="4"/>
      <c r="CK105" s="4"/>
      <c r="CL105" s="4"/>
      <c r="CM105" s="4"/>
    </row>
    <row r="106" spans="1:91" ht="15" thickBot="1" x14ac:dyDescent="0.35">
      <c r="A106" s="130">
        <v>1</v>
      </c>
      <c r="B106" s="54" t="s">
        <v>44</v>
      </c>
      <c r="C106" s="20">
        <v>404</v>
      </c>
      <c r="D106" s="20">
        <v>280</v>
      </c>
      <c r="E106" s="20">
        <v>350</v>
      </c>
      <c r="F106" s="20">
        <v>211</v>
      </c>
      <c r="G106" s="20">
        <v>262</v>
      </c>
      <c r="H106" s="20">
        <v>194</v>
      </c>
      <c r="I106" s="20">
        <v>253</v>
      </c>
      <c r="J106" s="20">
        <v>128</v>
      </c>
      <c r="K106" s="20">
        <v>266</v>
      </c>
      <c r="L106" s="20">
        <v>99</v>
      </c>
      <c r="M106" s="20">
        <v>133</v>
      </c>
      <c r="N106" s="20">
        <v>88</v>
      </c>
      <c r="O106" s="20">
        <f>M106+K106+I106+G106+E106+C106</f>
        <v>1668</v>
      </c>
      <c r="P106" s="20">
        <f>N106+L106+J106+H106+F106+D106</f>
        <v>1000</v>
      </c>
      <c r="Q106" s="20">
        <f>P106+O106</f>
        <v>2668</v>
      </c>
      <c r="CH106" s="4"/>
      <c r="CI106" s="4"/>
      <c r="CJ106" s="4"/>
      <c r="CK106" s="4"/>
      <c r="CL106" s="4"/>
      <c r="CM106" s="4"/>
    </row>
    <row r="107" spans="1:91" ht="15" thickBot="1" x14ac:dyDescent="0.35">
      <c r="A107" s="130">
        <v>2</v>
      </c>
      <c r="B107" s="54" t="s">
        <v>45</v>
      </c>
      <c r="C107" s="20">
        <v>303</v>
      </c>
      <c r="D107" s="20">
        <v>258</v>
      </c>
      <c r="E107" s="20">
        <v>385</v>
      </c>
      <c r="F107" s="20">
        <v>245</v>
      </c>
      <c r="G107" s="20">
        <v>374</v>
      </c>
      <c r="H107" s="20">
        <v>191</v>
      </c>
      <c r="I107" s="20">
        <v>154</v>
      </c>
      <c r="J107" s="20">
        <v>133</v>
      </c>
      <c r="K107" s="20">
        <v>168</v>
      </c>
      <c r="L107" s="20">
        <v>84</v>
      </c>
      <c r="M107" s="20">
        <v>157</v>
      </c>
      <c r="N107" s="20">
        <v>60</v>
      </c>
      <c r="O107" s="20">
        <f t="shared" ref="O107:P112" si="21">M107+K107+I107+G107+E107+C107</f>
        <v>1541</v>
      </c>
      <c r="P107" s="20">
        <f t="shared" si="21"/>
        <v>971</v>
      </c>
      <c r="Q107" s="20">
        <f t="shared" ref="Q107:Q112" si="22">P107+O107</f>
        <v>2512</v>
      </c>
    </row>
    <row r="108" spans="1:91" ht="15" thickBot="1" x14ac:dyDescent="0.35">
      <c r="A108" s="130">
        <v>3</v>
      </c>
      <c r="B108" s="54" t="s">
        <v>46</v>
      </c>
      <c r="C108" s="20">
        <v>390</v>
      </c>
      <c r="D108" s="20">
        <v>159</v>
      </c>
      <c r="E108" s="20">
        <v>428</v>
      </c>
      <c r="F108" s="20">
        <v>227</v>
      </c>
      <c r="G108" s="20">
        <v>240</v>
      </c>
      <c r="H108" s="20">
        <v>148</v>
      </c>
      <c r="I108" s="20">
        <v>232</v>
      </c>
      <c r="J108" s="20">
        <v>98</v>
      </c>
      <c r="K108" s="20">
        <v>162</v>
      </c>
      <c r="L108" s="20">
        <v>48</v>
      </c>
      <c r="M108" s="20">
        <v>163</v>
      </c>
      <c r="N108" s="20">
        <v>54</v>
      </c>
      <c r="O108" s="20">
        <f t="shared" si="21"/>
        <v>1615</v>
      </c>
      <c r="P108" s="20">
        <f t="shared" si="21"/>
        <v>734</v>
      </c>
      <c r="Q108" s="20">
        <f t="shared" si="22"/>
        <v>2349</v>
      </c>
      <c r="CH108" s="20"/>
      <c r="CI108" s="20"/>
    </row>
    <row r="109" spans="1:91" ht="15" thickBot="1" x14ac:dyDescent="0.35">
      <c r="A109" s="116">
        <v>4</v>
      </c>
      <c r="B109" s="55" t="s">
        <v>47</v>
      </c>
      <c r="C109" s="19">
        <v>88</v>
      </c>
      <c r="D109" s="19">
        <v>43</v>
      </c>
      <c r="E109" s="19">
        <v>74</v>
      </c>
      <c r="F109" s="19">
        <v>42</v>
      </c>
      <c r="G109" s="19">
        <v>59</v>
      </c>
      <c r="H109" s="19">
        <v>20</v>
      </c>
      <c r="I109" s="19">
        <v>55</v>
      </c>
      <c r="J109" s="19">
        <v>23</v>
      </c>
      <c r="K109" s="19">
        <v>20</v>
      </c>
      <c r="L109" s="19">
        <v>3</v>
      </c>
      <c r="M109" s="19">
        <v>5</v>
      </c>
      <c r="N109" s="19">
        <v>1</v>
      </c>
      <c r="O109" s="20">
        <f t="shared" si="21"/>
        <v>301</v>
      </c>
      <c r="P109" s="20">
        <f t="shared" si="21"/>
        <v>132</v>
      </c>
      <c r="Q109" s="20">
        <f t="shared" si="22"/>
        <v>433</v>
      </c>
      <c r="CH109" s="72"/>
      <c r="CI109" s="72"/>
    </row>
    <row r="110" spans="1:91" ht="15" thickBot="1" x14ac:dyDescent="0.35">
      <c r="A110" s="116">
        <v>5</v>
      </c>
      <c r="B110" s="55" t="s">
        <v>48</v>
      </c>
      <c r="C110" s="19">
        <v>0</v>
      </c>
      <c r="D110" s="19">
        <v>0</v>
      </c>
      <c r="E110" s="19">
        <v>0</v>
      </c>
      <c r="F110" s="19">
        <v>0</v>
      </c>
      <c r="G110" s="19">
        <v>0</v>
      </c>
      <c r="H110" s="19">
        <v>0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20">
        <f t="shared" si="21"/>
        <v>0</v>
      </c>
      <c r="P110" s="20">
        <f t="shared" si="21"/>
        <v>0</v>
      </c>
      <c r="Q110" s="20">
        <f t="shared" si="22"/>
        <v>0</v>
      </c>
      <c r="CH110" s="14"/>
      <c r="CI110" s="14"/>
    </row>
    <row r="111" spans="1:91" ht="15" thickBot="1" x14ac:dyDescent="0.35">
      <c r="A111" s="116">
        <v>6</v>
      </c>
      <c r="B111" s="55" t="s">
        <v>49</v>
      </c>
      <c r="C111" s="19">
        <v>23</v>
      </c>
      <c r="D111" s="19">
        <v>20</v>
      </c>
      <c r="E111" s="24">
        <v>22</v>
      </c>
      <c r="F111" s="19">
        <v>19</v>
      </c>
      <c r="G111" s="19">
        <v>11</v>
      </c>
      <c r="H111" s="19">
        <v>11</v>
      </c>
      <c r="I111" s="19">
        <v>10</v>
      </c>
      <c r="J111" s="19">
        <v>11</v>
      </c>
      <c r="K111" s="19">
        <v>8</v>
      </c>
      <c r="L111" s="19">
        <v>9</v>
      </c>
      <c r="M111" s="19">
        <v>8</v>
      </c>
      <c r="N111" s="19">
        <v>9</v>
      </c>
      <c r="O111" s="20">
        <f t="shared" si="21"/>
        <v>82</v>
      </c>
      <c r="P111" s="20">
        <f t="shared" si="21"/>
        <v>79</v>
      </c>
      <c r="Q111" s="20">
        <f t="shared" si="22"/>
        <v>161</v>
      </c>
      <c r="CH111" s="14"/>
      <c r="CI111" s="14"/>
    </row>
    <row r="112" spans="1:91" ht="15" thickBot="1" x14ac:dyDescent="0.35">
      <c r="A112" s="116">
        <v>7</v>
      </c>
      <c r="B112" s="55" t="s">
        <v>50</v>
      </c>
      <c r="C112" s="19">
        <v>0</v>
      </c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20">
        <f t="shared" si="21"/>
        <v>0</v>
      </c>
      <c r="P112" s="20">
        <f t="shared" si="21"/>
        <v>0</v>
      </c>
      <c r="Q112" s="20">
        <f t="shared" si="22"/>
        <v>0</v>
      </c>
      <c r="CH112" s="14"/>
      <c r="CI112" s="14"/>
    </row>
    <row r="113" spans="1:87" ht="15" thickBot="1" x14ac:dyDescent="0.35">
      <c r="A113" s="246" t="s">
        <v>10</v>
      </c>
      <c r="B113" s="247"/>
      <c r="C113" s="131">
        <f>SUM(C106:C112)</f>
        <v>1208</v>
      </c>
      <c r="D113" s="131">
        <f t="shared" ref="D113:Q113" si="23">SUM(D106:D112)</f>
        <v>760</v>
      </c>
      <c r="E113" s="131">
        <f t="shared" si="23"/>
        <v>1259</v>
      </c>
      <c r="F113" s="131">
        <f t="shared" si="23"/>
        <v>744</v>
      </c>
      <c r="G113" s="131">
        <f t="shared" si="23"/>
        <v>946</v>
      </c>
      <c r="H113" s="131">
        <f t="shared" si="23"/>
        <v>564</v>
      </c>
      <c r="I113" s="131">
        <f t="shared" si="23"/>
        <v>704</v>
      </c>
      <c r="J113" s="131">
        <f t="shared" si="23"/>
        <v>393</v>
      </c>
      <c r="K113" s="131">
        <f t="shared" si="23"/>
        <v>624</v>
      </c>
      <c r="L113" s="131">
        <f t="shared" si="23"/>
        <v>243</v>
      </c>
      <c r="M113" s="131">
        <f t="shared" si="23"/>
        <v>466</v>
      </c>
      <c r="N113" s="131">
        <f t="shared" si="23"/>
        <v>212</v>
      </c>
      <c r="O113" s="131">
        <f t="shared" si="23"/>
        <v>5207</v>
      </c>
      <c r="P113" s="131">
        <f t="shared" si="23"/>
        <v>2916</v>
      </c>
      <c r="Q113" s="131">
        <f t="shared" si="23"/>
        <v>8123</v>
      </c>
      <c r="CH113" s="12"/>
      <c r="CI113" s="12"/>
    </row>
    <row r="114" spans="1:87" ht="15.6" customHeight="1" x14ac:dyDescent="0.3">
      <c r="B114" s="195" t="s">
        <v>110</v>
      </c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</row>
    <row r="115" spans="1:87" ht="14.4" customHeight="1" x14ac:dyDescent="0.3">
      <c r="B115" s="184" t="s">
        <v>111</v>
      </c>
      <c r="C115" s="181" t="s">
        <v>112</v>
      </c>
      <c r="D115" s="196" t="s">
        <v>113</v>
      </c>
      <c r="E115" s="197"/>
      <c r="F115" s="197"/>
      <c r="G115" s="197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8"/>
    </row>
    <row r="116" spans="1:87" ht="14.4" customHeight="1" x14ac:dyDescent="0.3">
      <c r="B116" s="184"/>
      <c r="C116" s="182"/>
      <c r="D116" s="184" t="s">
        <v>129</v>
      </c>
      <c r="E116" s="184"/>
      <c r="F116" s="184" t="s">
        <v>114</v>
      </c>
      <c r="G116" s="184"/>
      <c r="H116" s="184" t="s">
        <v>115</v>
      </c>
      <c r="I116" s="184"/>
      <c r="J116" s="184" t="s">
        <v>116</v>
      </c>
      <c r="K116" s="184"/>
      <c r="L116" s="184" t="s">
        <v>117</v>
      </c>
      <c r="M116" s="184"/>
      <c r="N116" s="184" t="s">
        <v>118</v>
      </c>
      <c r="O116" s="184"/>
      <c r="P116" s="184" t="s">
        <v>10</v>
      </c>
      <c r="Q116" s="184"/>
      <c r="R116" s="184"/>
    </row>
    <row r="117" spans="1:87" ht="14.4" customHeight="1" x14ac:dyDescent="0.3">
      <c r="B117" s="184"/>
      <c r="C117" s="182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</row>
    <row r="118" spans="1:87" ht="15.6" x14ac:dyDescent="0.3">
      <c r="B118" s="184"/>
      <c r="C118" s="183"/>
      <c r="D118" s="164" t="s">
        <v>29</v>
      </c>
      <c r="E118" s="164" t="s">
        <v>30</v>
      </c>
      <c r="F118" s="164" t="s">
        <v>29</v>
      </c>
      <c r="G118" s="164" t="s">
        <v>30</v>
      </c>
      <c r="H118" s="164" t="s">
        <v>29</v>
      </c>
      <c r="I118" s="164" t="s">
        <v>30</v>
      </c>
      <c r="J118" s="164" t="s">
        <v>29</v>
      </c>
      <c r="K118" s="164" t="s">
        <v>30</v>
      </c>
      <c r="L118" s="164" t="s">
        <v>29</v>
      </c>
      <c r="M118" s="164" t="s">
        <v>30</v>
      </c>
      <c r="N118" s="164" t="s">
        <v>29</v>
      </c>
      <c r="O118" s="164" t="s">
        <v>30</v>
      </c>
      <c r="P118" s="164" t="s">
        <v>29</v>
      </c>
      <c r="Q118" s="164" t="s">
        <v>30</v>
      </c>
      <c r="R118" s="164" t="s">
        <v>54</v>
      </c>
    </row>
    <row r="119" spans="1:87" ht="15.6" x14ac:dyDescent="0.3">
      <c r="B119" s="181" t="s">
        <v>44</v>
      </c>
      <c r="C119" s="164" t="s">
        <v>119</v>
      </c>
      <c r="D119" s="164">
        <f>C106</f>
        <v>404</v>
      </c>
      <c r="E119" s="164">
        <f t="shared" ref="E119:G119" si="24">D106</f>
        <v>280</v>
      </c>
      <c r="F119" s="164">
        <f t="shared" si="24"/>
        <v>350</v>
      </c>
      <c r="G119" s="164">
        <f t="shared" si="24"/>
        <v>211</v>
      </c>
      <c r="H119" s="164"/>
      <c r="I119" s="164"/>
      <c r="J119" s="164"/>
      <c r="K119" s="164"/>
      <c r="L119" s="164"/>
      <c r="M119" s="164"/>
      <c r="N119" s="164"/>
      <c r="O119" s="164"/>
      <c r="P119" s="164">
        <f>N119+L119+J119+H119+F119+D119</f>
        <v>754</v>
      </c>
      <c r="Q119" s="164">
        <f>O119+M119+K119+I119+G119+E119</f>
        <v>491</v>
      </c>
      <c r="R119" s="164">
        <f>Q119+P119</f>
        <v>1245</v>
      </c>
    </row>
    <row r="120" spans="1:87" ht="15.6" x14ac:dyDescent="0.3">
      <c r="B120" s="182"/>
      <c r="C120" s="164" t="s">
        <v>120</v>
      </c>
      <c r="D120" s="164"/>
      <c r="E120" s="164"/>
      <c r="F120" s="164"/>
      <c r="G120" s="164"/>
      <c r="H120" s="164">
        <f>G106-H121</f>
        <v>212</v>
      </c>
      <c r="I120" s="164">
        <f t="shared" ref="I120:O120" si="25">H106-I121</f>
        <v>189</v>
      </c>
      <c r="J120" s="164">
        <f t="shared" si="25"/>
        <v>197</v>
      </c>
      <c r="K120" s="164">
        <f t="shared" si="25"/>
        <v>120</v>
      </c>
      <c r="L120" s="164">
        <f t="shared" si="25"/>
        <v>230</v>
      </c>
      <c r="M120" s="164">
        <f t="shared" si="25"/>
        <v>93</v>
      </c>
      <c r="N120" s="164">
        <f t="shared" si="25"/>
        <v>118</v>
      </c>
      <c r="O120" s="164">
        <f t="shared" si="25"/>
        <v>82</v>
      </c>
      <c r="P120" s="164">
        <f t="shared" ref="P120:Q163" si="26">N120+L120+J120+H120+F120+D120</f>
        <v>757</v>
      </c>
      <c r="Q120" s="164">
        <f t="shared" si="26"/>
        <v>484</v>
      </c>
      <c r="R120" s="164">
        <f t="shared" ref="R120:R163" si="27">Q120+P120</f>
        <v>1241</v>
      </c>
    </row>
    <row r="121" spans="1:87" ht="15.6" x14ac:dyDescent="0.3">
      <c r="B121" s="182"/>
      <c r="C121" s="164" t="s">
        <v>121</v>
      </c>
      <c r="D121" s="164"/>
      <c r="E121" s="164"/>
      <c r="F121" s="164"/>
      <c r="G121" s="164"/>
      <c r="H121" s="164">
        <v>50</v>
      </c>
      <c r="I121" s="164">
        <v>5</v>
      </c>
      <c r="J121" s="164">
        <v>56</v>
      </c>
      <c r="K121" s="164">
        <v>8</v>
      </c>
      <c r="L121" s="164">
        <v>36</v>
      </c>
      <c r="M121" s="164">
        <v>6</v>
      </c>
      <c r="N121" s="164">
        <v>15</v>
      </c>
      <c r="O121" s="164">
        <v>6</v>
      </c>
      <c r="P121" s="164">
        <f t="shared" si="26"/>
        <v>157</v>
      </c>
      <c r="Q121" s="164">
        <f t="shared" si="26"/>
        <v>25</v>
      </c>
      <c r="R121" s="164">
        <f t="shared" si="27"/>
        <v>182</v>
      </c>
    </row>
    <row r="122" spans="1:87" ht="15.6" x14ac:dyDescent="0.3">
      <c r="B122" s="182"/>
      <c r="C122" s="164" t="s">
        <v>122</v>
      </c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>
        <f t="shared" si="26"/>
        <v>0</v>
      </c>
      <c r="Q122" s="164">
        <f t="shared" si="26"/>
        <v>0</v>
      </c>
      <c r="R122" s="164">
        <f t="shared" si="27"/>
        <v>0</v>
      </c>
    </row>
    <row r="123" spans="1:87" ht="31.2" x14ac:dyDescent="0.3">
      <c r="B123" s="183"/>
      <c r="C123" s="164" t="s">
        <v>123</v>
      </c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>
        <f t="shared" si="26"/>
        <v>0</v>
      </c>
      <c r="Q123" s="164">
        <f t="shared" si="26"/>
        <v>0</v>
      </c>
      <c r="R123" s="164">
        <f t="shared" si="27"/>
        <v>0</v>
      </c>
    </row>
    <row r="124" spans="1:87" ht="15.6" x14ac:dyDescent="0.3">
      <c r="B124" s="181" t="s">
        <v>45</v>
      </c>
      <c r="C124" s="164" t="s">
        <v>119</v>
      </c>
      <c r="D124" s="164">
        <f>C107</f>
        <v>303</v>
      </c>
      <c r="E124" s="164">
        <f t="shared" ref="E124:G124" si="28">D107</f>
        <v>258</v>
      </c>
      <c r="F124" s="164">
        <f t="shared" si="28"/>
        <v>385</v>
      </c>
      <c r="G124" s="164">
        <f t="shared" si="28"/>
        <v>245</v>
      </c>
      <c r="H124" s="164"/>
      <c r="I124" s="164"/>
      <c r="J124" s="164"/>
      <c r="K124" s="164"/>
      <c r="L124" s="164"/>
      <c r="M124" s="164"/>
      <c r="N124" s="164"/>
      <c r="O124" s="164"/>
      <c r="P124" s="164">
        <f t="shared" si="26"/>
        <v>688</v>
      </c>
      <c r="Q124" s="164">
        <f t="shared" si="26"/>
        <v>503</v>
      </c>
      <c r="R124" s="164">
        <f t="shared" si="27"/>
        <v>1191</v>
      </c>
    </row>
    <row r="125" spans="1:87" ht="15.6" x14ac:dyDescent="0.3">
      <c r="B125" s="182"/>
      <c r="C125" s="164" t="s">
        <v>120</v>
      </c>
      <c r="D125" s="164"/>
      <c r="E125" s="164"/>
      <c r="F125" s="164"/>
      <c r="G125" s="164"/>
      <c r="H125" s="164">
        <f>G107-H126</f>
        <v>337</v>
      </c>
      <c r="I125" s="164">
        <f t="shared" ref="I125:O125" si="29">H107-I126</f>
        <v>183</v>
      </c>
      <c r="J125" s="164">
        <f t="shared" si="29"/>
        <v>129</v>
      </c>
      <c r="K125" s="164">
        <f t="shared" si="29"/>
        <v>130</v>
      </c>
      <c r="L125" s="164">
        <f t="shared" si="29"/>
        <v>143</v>
      </c>
      <c r="M125" s="164">
        <f t="shared" si="29"/>
        <v>76</v>
      </c>
      <c r="N125" s="164">
        <f t="shared" si="29"/>
        <v>145</v>
      </c>
      <c r="O125" s="164">
        <f t="shared" si="29"/>
        <v>57</v>
      </c>
      <c r="P125" s="164">
        <f t="shared" si="26"/>
        <v>754</v>
      </c>
      <c r="Q125" s="164">
        <f t="shared" si="26"/>
        <v>446</v>
      </c>
      <c r="R125" s="164">
        <f t="shared" si="27"/>
        <v>1200</v>
      </c>
    </row>
    <row r="126" spans="1:87" ht="15.6" x14ac:dyDescent="0.3">
      <c r="B126" s="182"/>
      <c r="C126" s="164" t="s">
        <v>121</v>
      </c>
      <c r="D126" s="164"/>
      <c r="E126" s="164"/>
      <c r="F126" s="164"/>
      <c r="G126" s="164"/>
      <c r="H126" s="164">
        <v>37</v>
      </c>
      <c r="I126" s="164">
        <v>8</v>
      </c>
      <c r="J126" s="164">
        <v>25</v>
      </c>
      <c r="K126" s="164">
        <v>3</v>
      </c>
      <c r="L126" s="164">
        <v>25</v>
      </c>
      <c r="M126" s="164">
        <v>8</v>
      </c>
      <c r="N126" s="164">
        <v>12</v>
      </c>
      <c r="O126" s="164">
        <v>3</v>
      </c>
      <c r="P126" s="164">
        <f t="shared" si="26"/>
        <v>99</v>
      </c>
      <c r="Q126" s="164">
        <f t="shared" si="26"/>
        <v>22</v>
      </c>
      <c r="R126" s="164">
        <f t="shared" si="27"/>
        <v>121</v>
      </c>
    </row>
    <row r="127" spans="1:87" ht="15.6" x14ac:dyDescent="0.3">
      <c r="B127" s="182"/>
      <c r="C127" s="164" t="s">
        <v>122</v>
      </c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>
        <f t="shared" si="26"/>
        <v>0</v>
      </c>
      <c r="Q127" s="164">
        <f t="shared" si="26"/>
        <v>0</v>
      </c>
      <c r="R127" s="164">
        <f t="shared" si="27"/>
        <v>0</v>
      </c>
    </row>
    <row r="128" spans="1:87" ht="31.2" x14ac:dyDescent="0.3">
      <c r="B128" s="183"/>
      <c r="C128" s="164" t="s">
        <v>123</v>
      </c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>
        <f t="shared" si="26"/>
        <v>0</v>
      </c>
      <c r="Q128" s="164">
        <f t="shared" si="26"/>
        <v>0</v>
      </c>
      <c r="R128" s="164">
        <f t="shared" si="27"/>
        <v>0</v>
      </c>
    </row>
    <row r="129" spans="2:18" ht="15.6" x14ac:dyDescent="0.3">
      <c r="B129" s="181" t="s">
        <v>46</v>
      </c>
      <c r="C129" s="164" t="s">
        <v>119</v>
      </c>
      <c r="D129" s="164">
        <f>C108</f>
        <v>390</v>
      </c>
      <c r="E129" s="164">
        <f t="shared" ref="E129:G129" si="30">D108</f>
        <v>159</v>
      </c>
      <c r="F129" s="164">
        <f t="shared" si="30"/>
        <v>428</v>
      </c>
      <c r="G129" s="164">
        <f t="shared" si="30"/>
        <v>227</v>
      </c>
      <c r="H129" s="164"/>
      <c r="I129" s="164"/>
      <c r="J129" s="164"/>
      <c r="K129" s="164"/>
      <c r="L129" s="164"/>
      <c r="M129" s="164"/>
      <c r="N129" s="164"/>
      <c r="O129" s="164"/>
      <c r="P129" s="164">
        <f t="shared" si="26"/>
        <v>818</v>
      </c>
      <c r="Q129" s="164">
        <f t="shared" si="26"/>
        <v>386</v>
      </c>
      <c r="R129" s="164">
        <f t="shared" si="27"/>
        <v>1204</v>
      </c>
    </row>
    <row r="130" spans="2:18" ht="15.6" x14ac:dyDescent="0.3">
      <c r="B130" s="182"/>
      <c r="C130" s="164" t="s">
        <v>120</v>
      </c>
      <c r="D130" s="164"/>
      <c r="E130" s="164"/>
      <c r="F130" s="164"/>
      <c r="G130" s="164"/>
      <c r="H130" s="164">
        <f>G108-H131</f>
        <v>183</v>
      </c>
      <c r="I130" s="164">
        <f t="shared" ref="I130:O130" si="31">H108-I131</f>
        <v>127</v>
      </c>
      <c r="J130" s="164">
        <f t="shared" si="31"/>
        <v>217</v>
      </c>
      <c r="K130" s="164">
        <f t="shared" si="31"/>
        <v>96</v>
      </c>
      <c r="L130" s="164">
        <f t="shared" si="31"/>
        <v>146</v>
      </c>
      <c r="M130" s="164">
        <f t="shared" si="31"/>
        <v>44</v>
      </c>
      <c r="N130" s="164">
        <f t="shared" si="31"/>
        <v>146</v>
      </c>
      <c r="O130" s="164">
        <f t="shared" si="31"/>
        <v>51</v>
      </c>
      <c r="P130" s="164">
        <f t="shared" si="26"/>
        <v>692</v>
      </c>
      <c r="Q130" s="164">
        <f t="shared" si="26"/>
        <v>318</v>
      </c>
      <c r="R130" s="164">
        <f t="shared" si="27"/>
        <v>1010</v>
      </c>
    </row>
    <row r="131" spans="2:18" ht="15.6" x14ac:dyDescent="0.3">
      <c r="B131" s="182"/>
      <c r="C131" s="164" t="s">
        <v>121</v>
      </c>
      <c r="D131" s="164"/>
      <c r="E131" s="164"/>
      <c r="F131" s="164"/>
      <c r="G131" s="164"/>
      <c r="H131" s="164">
        <v>57</v>
      </c>
      <c r="I131" s="164">
        <v>21</v>
      </c>
      <c r="J131" s="164">
        <v>15</v>
      </c>
      <c r="K131" s="164">
        <v>2</v>
      </c>
      <c r="L131" s="164">
        <v>16</v>
      </c>
      <c r="M131" s="164">
        <v>4</v>
      </c>
      <c r="N131" s="164">
        <v>17</v>
      </c>
      <c r="O131" s="164">
        <v>3</v>
      </c>
      <c r="P131" s="164">
        <f t="shared" si="26"/>
        <v>105</v>
      </c>
      <c r="Q131" s="164">
        <f t="shared" si="26"/>
        <v>30</v>
      </c>
      <c r="R131" s="164">
        <f t="shared" si="27"/>
        <v>135</v>
      </c>
    </row>
    <row r="132" spans="2:18" ht="15.6" x14ac:dyDescent="0.3">
      <c r="B132" s="182"/>
      <c r="C132" s="164" t="s">
        <v>122</v>
      </c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>
        <f t="shared" si="26"/>
        <v>0</v>
      </c>
      <c r="Q132" s="164">
        <f t="shared" si="26"/>
        <v>0</v>
      </c>
      <c r="R132" s="164">
        <f t="shared" si="27"/>
        <v>0</v>
      </c>
    </row>
    <row r="133" spans="2:18" ht="31.2" x14ac:dyDescent="0.3">
      <c r="B133" s="183"/>
      <c r="C133" s="164" t="s">
        <v>123</v>
      </c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>
        <f t="shared" si="26"/>
        <v>0</v>
      </c>
      <c r="Q133" s="164">
        <f t="shared" si="26"/>
        <v>0</v>
      </c>
      <c r="R133" s="164">
        <f t="shared" si="27"/>
        <v>0</v>
      </c>
    </row>
    <row r="134" spans="2:18" ht="15.6" x14ac:dyDescent="0.3">
      <c r="B134" s="181" t="s">
        <v>47</v>
      </c>
      <c r="C134" s="164" t="s">
        <v>119</v>
      </c>
      <c r="D134" s="164">
        <f>C109</f>
        <v>88</v>
      </c>
      <c r="E134" s="164">
        <f t="shared" ref="E134:G134" si="32">D109</f>
        <v>43</v>
      </c>
      <c r="F134" s="164">
        <f t="shared" si="32"/>
        <v>74</v>
      </c>
      <c r="G134" s="164">
        <f t="shared" si="32"/>
        <v>42</v>
      </c>
      <c r="H134" s="164"/>
      <c r="I134" s="164"/>
      <c r="J134" s="164"/>
      <c r="K134" s="164"/>
      <c r="L134" s="164"/>
      <c r="M134" s="164"/>
      <c r="N134" s="164"/>
      <c r="O134" s="164"/>
      <c r="P134" s="164">
        <f t="shared" si="26"/>
        <v>162</v>
      </c>
      <c r="Q134" s="164">
        <f t="shared" si="26"/>
        <v>85</v>
      </c>
      <c r="R134" s="164">
        <f t="shared" si="27"/>
        <v>247</v>
      </c>
    </row>
    <row r="135" spans="2:18" ht="15.6" x14ac:dyDescent="0.3">
      <c r="B135" s="182"/>
      <c r="C135" s="164" t="s">
        <v>120</v>
      </c>
      <c r="D135" s="164"/>
      <c r="E135" s="164"/>
      <c r="F135" s="164"/>
      <c r="G135" s="164"/>
      <c r="H135" s="164">
        <f>G109</f>
        <v>59</v>
      </c>
      <c r="I135" s="164">
        <f t="shared" ref="I135:O135" si="33">H109</f>
        <v>20</v>
      </c>
      <c r="J135" s="164">
        <f t="shared" si="33"/>
        <v>55</v>
      </c>
      <c r="K135" s="164">
        <f t="shared" si="33"/>
        <v>23</v>
      </c>
      <c r="L135" s="164">
        <f t="shared" si="33"/>
        <v>20</v>
      </c>
      <c r="M135" s="164">
        <f t="shared" si="33"/>
        <v>3</v>
      </c>
      <c r="N135" s="164">
        <f t="shared" si="33"/>
        <v>5</v>
      </c>
      <c r="O135" s="164">
        <f t="shared" si="33"/>
        <v>1</v>
      </c>
      <c r="P135" s="164">
        <f t="shared" si="26"/>
        <v>139</v>
      </c>
      <c r="Q135" s="164">
        <f t="shared" si="26"/>
        <v>47</v>
      </c>
      <c r="R135" s="164">
        <f t="shared" si="27"/>
        <v>186</v>
      </c>
    </row>
    <row r="136" spans="2:18" ht="15.6" x14ac:dyDescent="0.3">
      <c r="B136" s="182"/>
      <c r="C136" s="164" t="s">
        <v>121</v>
      </c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>
        <f t="shared" si="26"/>
        <v>0</v>
      </c>
      <c r="Q136" s="164">
        <f t="shared" si="26"/>
        <v>0</v>
      </c>
      <c r="R136" s="164">
        <f t="shared" si="27"/>
        <v>0</v>
      </c>
    </row>
    <row r="137" spans="2:18" ht="15.6" x14ac:dyDescent="0.3">
      <c r="B137" s="182"/>
      <c r="C137" s="164" t="s">
        <v>122</v>
      </c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>
        <f t="shared" si="26"/>
        <v>0</v>
      </c>
      <c r="Q137" s="164">
        <f t="shared" si="26"/>
        <v>0</v>
      </c>
      <c r="R137" s="164">
        <f t="shared" si="27"/>
        <v>0</v>
      </c>
    </row>
    <row r="138" spans="2:18" ht="31.2" x14ac:dyDescent="0.3">
      <c r="B138" s="183"/>
      <c r="C138" s="164" t="s">
        <v>123</v>
      </c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>
        <f t="shared" si="26"/>
        <v>0</v>
      </c>
      <c r="Q138" s="164">
        <f t="shared" si="26"/>
        <v>0</v>
      </c>
      <c r="R138" s="164">
        <f t="shared" si="27"/>
        <v>0</v>
      </c>
    </row>
    <row r="139" spans="2:18" ht="15.6" x14ac:dyDescent="0.3">
      <c r="B139" s="185" t="s">
        <v>124</v>
      </c>
      <c r="C139" s="165" t="s">
        <v>119</v>
      </c>
      <c r="D139" s="165"/>
      <c r="E139" s="165"/>
      <c r="F139" s="165"/>
      <c r="G139" s="165"/>
      <c r="H139" s="165"/>
      <c r="I139" s="165"/>
      <c r="J139" s="165"/>
      <c r="K139" s="165"/>
      <c r="L139" s="165"/>
      <c r="M139" s="165"/>
      <c r="N139" s="165"/>
      <c r="O139" s="165"/>
      <c r="P139" s="165">
        <f t="shared" si="26"/>
        <v>0</v>
      </c>
      <c r="Q139" s="165">
        <f t="shared" si="26"/>
        <v>0</v>
      </c>
      <c r="R139" s="165">
        <f t="shared" si="27"/>
        <v>0</v>
      </c>
    </row>
    <row r="140" spans="2:18" ht="15.6" x14ac:dyDescent="0.3">
      <c r="B140" s="186"/>
      <c r="C140" s="165" t="s">
        <v>120</v>
      </c>
      <c r="D140" s="165"/>
      <c r="E140" s="165"/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65">
        <f t="shared" si="26"/>
        <v>0</v>
      </c>
      <c r="Q140" s="165">
        <f t="shared" si="26"/>
        <v>0</v>
      </c>
      <c r="R140" s="165">
        <f t="shared" si="27"/>
        <v>0</v>
      </c>
    </row>
    <row r="141" spans="2:18" ht="15.6" x14ac:dyDescent="0.3">
      <c r="B141" s="186"/>
      <c r="C141" s="165" t="s">
        <v>121</v>
      </c>
      <c r="D141" s="165"/>
      <c r="E141" s="165"/>
      <c r="F141" s="165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>
        <f t="shared" si="26"/>
        <v>0</v>
      </c>
      <c r="Q141" s="165">
        <f t="shared" si="26"/>
        <v>0</v>
      </c>
      <c r="R141" s="165">
        <f t="shared" si="27"/>
        <v>0</v>
      </c>
    </row>
    <row r="142" spans="2:18" ht="15.6" x14ac:dyDescent="0.3">
      <c r="B142" s="186"/>
      <c r="C142" s="165" t="s">
        <v>122</v>
      </c>
      <c r="D142" s="165"/>
      <c r="E142" s="165"/>
      <c r="F142" s="165"/>
      <c r="G142" s="165"/>
      <c r="H142" s="165"/>
      <c r="I142" s="165"/>
      <c r="J142" s="165"/>
      <c r="K142" s="165"/>
      <c r="L142" s="165"/>
      <c r="M142" s="165"/>
      <c r="N142" s="165"/>
      <c r="O142" s="165"/>
      <c r="P142" s="165">
        <f t="shared" si="26"/>
        <v>0</v>
      </c>
      <c r="Q142" s="165">
        <f t="shared" si="26"/>
        <v>0</v>
      </c>
      <c r="R142" s="165">
        <f t="shared" si="27"/>
        <v>0</v>
      </c>
    </row>
    <row r="143" spans="2:18" ht="31.2" x14ac:dyDescent="0.3">
      <c r="B143" s="187"/>
      <c r="C143" s="165" t="s">
        <v>123</v>
      </c>
      <c r="D143" s="165"/>
      <c r="E143" s="165"/>
      <c r="F143" s="165"/>
      <c r="G143" s="165"/>
      <c r="H143" s="165"/>
      <c r="I143" s="165"/>
      <c r="J143" s="165"/>
      <c r="K143" s="165"/>
      <c r="L143" s="165"/>
      <c r="M143" s="165"/>
      <c r="N143" s="165"/>
      <c r="O143" s="165"/>
      <c r="P143" s="165">
        <f t="shared" si="26"/>
        <v>0</v>
      </c>
      <c r="Q143" s="165">
        <f t="shared" si="26"/>
        <v>0</v>
      </c>
      <c r="R143" s="165">
        <f t="shared" si="27"/>
        <v>0</v>
      </c>
    </row>
    <row r="144" spans="2:18" ht="15.6" x14ac:dyDescent="0.3">
      <c r="B144" s="185" t="s">
        <v>125</v>
      </c>
      <c r="C144" s="165" t="s">
        <v>119</v>
      </c>
      <c r="D144" s="165"/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65">
        <f t="shared" si="26"/>
        <v>0</v>
      </c>
      <c r="Q144" s="165">
        <f t="shared" si="26"/>
        <v>0</v>
      </c>
      <c r="R144" s="165">
        <f t="shared" si="27"/>
        <v>0</v>
      </c>
    </row>
    <row r="145" spans="2:18" ht="15.6" x14ac:dyDescent="0.3">
      <c r="B145" s="186"/>
      <c r="C145" s="165" t="s">
        <v>120</v>
      </c>
      <c r="D145" s="165"/>
      <c r="E145" s="165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165">
        <f t="shared" si="26"/>
        <v>0</v>
      </c>
      <c r="Q145" s="165">
        <f t="shared" si="26"/>
        <v>0</v>
      </c>
      <c r="R145" s="165">
        <f t="shared" si="27"/>
        <v>0</v>
      </c>
    </row>
    <row r="146" spans="2:18" ht="15.6" x14ac:dyDescent="0.3">
      <c r="B146" s="186"/>
      <c r="C146" s="165" t="s">
        <v>121</v>
      </c>
      <c r="D146" s="165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>
        <f t="shared" si="26"/>
        <v>0</v>
      </c>
      <c r="Q146" s="165">
        <f t="shared" si="26"/>
        <v>0</v>
      </c>
      <c r="R146" s="165">
        <f t="shared" si="27"/>
        <v>0</v>
      </c>
    </row>
    <row r="147" spans="2:18" ht="15.6" x14ac:dyDescent="0.3">
      <c r="B147" s="186"/>
      <c r="C147" s="165" t="s">
        <v>122</v>
      </c>
      <c r="D147" s="165"/>
      <c r="E147" s="165"/>
      <c r="F147" s="165"/>
      <c r="G147" s="165"/>
      <c r="H147" s="165"/>
      <c r="I147" s="165"/>
      <c r="J147" s="165"/>
      <c r="K147" s="165"/>
      <c r="L147" s="165"/>
      <c r="M147" s="165"/>
      <c r="N147" s="165"/>
      <c r="O147" s="165"/>
      <c r="P147" s="165">
        <f t="shared" si="26"/>
        <v>0</v>
      </c>
      <c r="Q147" s="165">
        <f t="shared" si="26"/>
        <v>0</v>
      </c>
      <c r="R147" s="165">
        <f t="shared" si="27"/>
        <v>0</v>
      </c>
    </row>
    <row r="148" spans="2:18" ht="31.2" x14ac:dyDescent="0.3">
      <c r="B148" s="187"/>
      <c r="C148" s="165" t="s">
        <v>123</v>
      </c>
      <c r="D148" s="165"/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165">
        <f t="shared" si="26"/>
        <v>0</v>
      </c>
      <c r="Q148" s="165">
        <f t="shared" si="26"/>
        <v>0</v>
      </c>
      <c r="R148" s="165">
        <f t="shared" si="27"/>
        <v>0</v>
      </c>
    </row>
    <row r="149" spans="2:18" ht="15.6" x14ac:dyDescent="0.3">
      <c r="B149" s="185" t="s">
        <v>126</v>
      </c>
      <c r="C149" s="165" t="s">
        <v>119</v>
      </c>
      <c r="D149" s="165"/>
      <c r="E149" s="165"/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165">
        <f t="shared" si="26"/>
        <v>0</v>
      </c>
      <c r="Q149" s="165">
        <f t="shared" si="26"/>
        <v>0</v>
      </c>
      <c r="R149" s="165">
        <f t="shared" si="27"/>
        <v>0</v>
      </c>
    </row>
    <row r="150" spans="2:18" ht="15.6" x14ac:dyDescent="0.3">
      <c r="B150" s="186"/>
      <c r="C150" s="165" t="s">
        <v>120</v>
      </c>
      <c r="D150" s="165"/>
      <c r="E150" s="165"/>
      <c r="F150" s="165"/>
      <c r="G150" s="165"/>
      <c r="H150" s="165"/>
      <c r="I150" s="165"/>
      <c r="J150" s="165"/>
      <c r="K150" s="165"/>
      <c r="L150" s="165"/>
      <c r="M150" s="165"/>
      <c r="N150" s="165"/>
      <c r="O150" s="165"/>
      <c r="P150" s="165">
        <f t="shared" si="26"/>
        <v>0</v>
      </c>
      <c r="Q150" s="165">
        <f t="shared" si="26"/>
        <v>0</v>
      </c>
      <c r="R150" s="165">
        <f t="shared" si="27"/>
        <v>0</v>
      </c>
    </row>
    <row r="151" spans="2:18" ht="15.6" x14ac:dyDescent="0.3">
      <c r="B151" s="186"/>
      <c r="C151" s="165" t="s">
        <v>121</v>
      </c>
      <c r="D151" s="165"/>
      <c r="E151" s="165"/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165">
        <f t="shared" si="26"/>
        <v>0</v>
      </c>
      <c r="Q151" s="165">
        <f t="shared" si="26"/>
        <v>0</v>
      </c>
      <c r="R151" s="165">
        <f t="shared" si="27"/>
        <v>0</v>
      </c>
    </row>
    <row r="152" spans="2:18" ht="15.6" x14ac:dyDescent="0.3">
      <c r="B152" s="186"/>
      <c r="C152" s="165" t="s">
        <v>122</v>
      </c>
      <c r="D152" s="165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165">
        <f t="shared" si="26"/>
        <v>0</v>
      </c>
      <c r="Q152" s="165">
        <f t="shared" si="26"/>
        <v>0</v>
      </c>
      <c r="R152" s="165">
        <f t="shared" si="27"/>
        <v>0</v>
      </c>
    </row>
    <row r="153" spans="2:18" ht="31.2" x14ac:dyDescent="0.3">
      <c r="B153" s="187"/>
      <c r="C153" s="165" t="s">
        <v>123</v>
      </c>
      <c r="D153" s="165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>
        <f t="shared" si="26"/>
        <v>0</v>
      </c>
      <c r="Q153" s="165">
        <f t="shared" si="26"/>
        <v>0</v>
      </c>
      <c r="R153" s="165">
        <f t="shared" si="27"/>
        <v>0</v>
      </c>
    </row>
    <row r="154" spans="2:18" ht="15.6" x14ac:dyDescent="0.3">
      <c r="B154" s="181" t="s">
        <v>127</v>
      </c>
      <c r="C154" s="164" t="s">
        <v>119</v>
      </c>
      <c r="D154" s="164">
        <f>C112</f>
        <v>0</v>
      </c>
      <c r="E154" s="164">
        <f t="shared" ref="E154:G154" si="34">D112</f>
        <v>0</v>
      </c>
      <c r="F154" s="164">
        <f t="shared" si="34"/>
        <v>0</v>
      </c>
      <c r="G154" s="164">
        <f t="shared" si="34"/>
        <v>0</v>
      </c>
      <c r="H154" s="164"/>
      <c r="I154" s="164"/>
      <c r="J154" s="164"/>
      <c r="K154" s="164"/>
      <c r="L154" s="164"/>
      <c r="M154" s="164"/>
      <c r="N154" s="164"/>
      <c r="O154" s="164"/>
      <c r="P154" s="164">
        <f t="shared" si="26"/>
        <v>0</v>
      </c>
      <c r="Q154" s="164">
        <f t="shared" si="26"/>
        <v>0</v>
      </c>
      <c r="R154" s="164">
        <f t="shared" si="27"/>
        <v>0</v>
      </c>
    </row>
    <row r="155" spans="2:18" ht="15.6" x14ac:dyDescent="0.3">
      <c r="B155" s="182"/>
      <c r="C155" s="164" t="s">
        <v>120</v>
      </c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>
        <f t="shared" si="26"/>
        <v>0</v>
      </c>
      <c r="Q155" s="164">
        <f t="shared" si="26"/>
        <v>0</v>
      </c>
      <c r="R155" s="164">
        <f t="shared" si="27"/>
        <v>0</v>
      </c>
    </row>
    <row r="156" spans="2:18" ht="15.6" x14ac:dyDescent="0.3">
      <c r="B156" s="182"/>
      <c r="C156" s="164" t="s">
        <v>121</v>
      </c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>
        <f t="shared" si="26"/>
        <v>0</v>
      </c>
      <c r="Q156" s="164">
        <f t="shared" si="26"/>
        <v>0</v>
      </c>
      <c r="R156" s="164">
        <f t="shared" si="27"/>
        <v>0</v>
      </c>
    </row>
    <row r="157" spans="2:18" ht="15.6" x14ac:dyDescent="0.3">
      <c r="B157" s="182"/>
      <c r="C157" s="164" t="s">
        <v>122</v>
      </c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>
        <f t="shared" si="26"/>
        <v>0</v>
      </c>
      <c r="Q157" s="164">
        <f t="shared" si="26"/>
        <v>0</v>
      </c>
      <c r="R157" s="164">
        <f t="shared" si="27"/>
        <v>0</v>
      </c>
    </row>
    <row r="158" spans="2:18" ht="31.2" x14ac:dyDescent="0.3">
      <c r="B158" s="183"/>
      <c r="C158" s="164" t="s">
        <v>123</v>
      </c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>
        <f t="shared" si="26"/>
        <v>0</v>
      </c>
      <c r="Q158" s="164">
        <f t="shared" si="26"/>
        <v>0</v>
      </c>
      <c r="R158" s="164">
        <f t="shared" si="27"/>
        <v>0</v>
      </c>
    </row>
    <row r="159" spans="2:18" ht="15.6" x14ac:dyDescent="0.3">
      <c r="B159" s="181" t="s">
        <v>128</v>
      </c>
      <c r="C159" s="164" t="s">
        <v>119</v>
      </c>
      <c r="D159" s="164">
        <f>C110+C111</f>
        <v>23</v>
      </c>
      <c r="E159" s="164">
        <f t="shared" ref="E159:G159" si="35">D110+D111</f>
        <v>20</v>
      </c>
      <c r="F159" s="164">
        <f t="shared" si="35"/>
        <v>22</v>
      </c>
      <c r="G159" s="164">
        <f t="shared" si="35"/>
        <v>19</v>
      </c>
      <c r="H159" s="164"/>
      <c r="I159" s="164"/>
      <c r="J159" s="164"/>
      <c r="K159" s="164"/>
      <c r="L159" s="164"/>
      <c r="M159" s="164"/>
      <c r="N159" s="164"/>
      <c r="O159" s="164"/>
      <c r="P159" s="164">
        <f t="shared" si="26"/>
        <v>45</v>
      </c>
      <c r="Q159" s="164">
        <f t="shared" si="26"/>
        <v>39</v>
      </c>
      <c r="R159" s="164">
        <f t="shared" si="27"/>
        <v>84</v>
      </c>
    </row>
    <row r="160" spans="2:18" ht="15.6" x14ac:dyDescent="0.3">
      <c r="B160" s="182"/>
      <c r="C160" s="164" t="s">
        <v>120</v>
      </c>
      <c r="D160" s="164"/>
      <c r="E160" s="164"/>
      <c r="F160" s="164"/>
      <c r="G160" s="164"/>
      <c r="H160" s="164">
        <f>G111</f>
        <v>11</v>
      </c>
      <c r="I160" s="164">
        <f t="shared" ref="I160:O160" si="36">H111</f>
        <v>11</v>
      </c>
      <c r="J160" s="164">
        <f t="shared" si="36"/>
        <v>10</v>
      </c>
      <c r="K160" s="164">
        <f t="shared" si="36"/>
        <v>11</v>
      </c>
      <c r="L160" s="164">
        <f t="shared" si="36"/>
        <v>8</v>
      </c>
      <c r="M160" s="164">
        <f t="shared" si="36"/>
        <v>9</v>
      </c>
      <c r="N160" s="164">
        <f t="shared" si="36"/>
        <v>8</v>
      </c>
      <c r="O160" s="164">
        <f t="shared" si="36"/>
        <v>9</v>
      </c>
      <c r="P160" s="164">
        <f t="shared" si="26"/>
        <v>37</v>
      </c>
      <c r="Q160" s="164">
        <f t="shared" si="26"/>
        <v>40</v>
      </c>
      <c r="R160" s="164">
        <f t="shared" si="27"/>
        <v>77</v>
      </c>
    </row>
    <row r="161" spans="1:87" ht="15.6" x14ac:dyDescent="0.3">
      <c r="B161" s="182"/>
      <c r="C161" s="164" t="s">
        <v>121</v>
      </c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>
        <f t="shared" si="26"/>
        <v>0</v>
      </c>
      <c r="Q161" s="164">
        <f t="shared" si="26"/>
        <v>0</v>
      </c>
      <c r="R161" s="164">
        <f t="shared" si="27"/>
        <v>0</v>
      </c>
    </row>
    <row r="162" spans="1:87" ht="15.6" x14ac:dyDescent="0.3">
      <c r="B162" s="182"/>
      <c r="C162" s="164" t="s">
        <v>122</v>
      </c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>
        <f t="shared" si="26"/>
        <v>0</v>
      </c>
      <c r="Q162" s="164">
        <f t="shared" si="26"/>
        <v>0</v>
      </c>
      <c r="R162" s="164">
        <f t="shared" si="27"/>
        <v>0</v>
      </c>
    </row>
    <row r="163" spans="1:87" ht="31.2" x14ac:dyDescent="0.3">
      <c r="B163" s="183"/>
      <c r="C163" s="164" t="s">
        <v>123</v>
      </c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>
        <f t="shared" si="26"/>
        <v>0</v>
      </c>
      <c r="Q163" s="164">
        <f t="shared" si="26"/>
        <v>0</v>
      </c>
      <c r="R163" s="164">
        <f t="shared" si="27"/>
        <v>0</v>
      </c>
    </row>
    <row r="164" spans="1:87" ht="15.6" x14ac:dyDescent="0.3">
      <c r="B164" s="181" t="s">
        <v>10</v>
      </c>
      <c r="C164" s="164" t="s">
        <v>119</v>
      </c>
      <c r="D164" s="164">
        <f>D159+D154+D149+D144+D139+D134+D129+D124+D119</f>
        <v>1208</v>
      </c>
      <c r="E164" s="164">
        <f t="shared" ref="E164:R164" si="37">E159+E154+E149+E144+E139+E134+E129+E124+E119</f>
        <v>760</v>
      </c>
      <c r="F164" s="164">
        <f t="shared" si="37"/>
        <v>1259</v>
      </c>
      <c r="G164" s="164">
        <f t="shared" si="37"/>
        <v>744</v>
      </c>
      <c r="H164" s="164">
        <f t="shared" si="37"/>
        <v>0</v>
      </c>
      <c r="I164" s="164">
        <f t="shared" si="37"/>
        <v>0</v>
      </c>
      <c r="J164" s="164">
        <f t="shared" si="37"/>
        <v>0</v>
      </c>
      <c r="K164" s="164">
        <f t="shared" si="37"/>
        <v>0</v>
      </c>
      <c r="L164" s="164">
        <f t="shared" si="37"/>
        <v>0</v>
      </c>
      <c r="M164" s="164">
        <f t="shared" si="37"/>
        <v>0</v>
      </c>
      <c r="N164" s="164">
        <f t="shared" si="37"/>
        <v>0</v>
      </c>
      <c r="O164" s="164">
        <f t="shared" si="37"/>
        <v>0</v>
      </c>
      <c r="P164" s="164">
        <f t="shared" si="37"/>
        <v>2467</v>
      </c>
      <c r="Q164" s="164">
        <f t="shared" si="37"/>
        <v>1504</v>
      </c>
      <c r="R164" s="164">
        <f t="shared" si="37"/>
        <v>3971</v>
      </c>
    </row>
    <row r="165" spans="1:87" ht="15.6" x14ac:dyDescent="0.3">
      <c r="B165" s="182"/>
      <c r="C165" s="164" t="s">
        <v>120</v>
      </c>
      <c r="D165" s="164">
        <f t="shared" ref="D165:R168" si="38">D160+D155+D150+D145+D140+D135+D130+D125+D120</f>
        <v>0</v>
      </c>
      <c r="E165" s="164">
        <f t="shared" si="38"/>
        <v>0</v>
      </c>
      <c r="F165" s="164">
        <f t="shared" si="38"/>
        <v>0</v>
      </c>
      <c r="G165" s="164">
        <f t="shared" si="38"/>
        <v>0</v>
      </c>
      <c r="H165" s="164">
        <f t="shared" si="38"/>
        <v>802</v>
      </c>
      <c r="I165" s="164">
        <f t="shared" si="38"/>
        <v>530</v>
      </c>
      <c r="J165" s="164">
        <f t="shared" si="38"/>
        <v>608</v>
      </c>
      <c r="K165" s="164">
        <f t="shared" si="38"/>
        <v>380</v>
      </c>
      <c r="L165" s="164">
        <f t="shared" si="38"/>
        <v>547</v>
      </c>
      <c r="M165" s="164">
        <f t="shared" si="38"/>
        <v>225</v>
      </c>
      <c r="N165" s="164">
        <f t="shared" si="38"/>
        <v>422</v>
      </c>
      <c r="O165" s="164">
        <f t="shared" si="38"/>
        <v>200</v>
      </c>
      <c r="P165" s="164">
        <f t="shared" si="38"/>
        <v>2379</v>
      </c>
      <c r="Q165" s="164">
        <f t="shared" si="38"/>
        <v>1335</v>
      </c>
      <c r="R165" s="164">
        <f t="shared" si="38"/>
        <v>3714</v>
      </c>
    </row>
    <row r="166" spans="1:87" ht="15.6" x14ac:dyDescent="0.3">
      <c r="B166" s="182"/>
      <c r="C166" s="164" t="s">
        <v>121</v>
      </c>
      <c r="D166" s="164">
        <f t="shared" si="38"/>
        <v>0</v>
      </c>
      <c r="E166" s="164">
        <f t="shared" si="38"/>
        <v>0</v>
      </c>
      <c r="F166" s="164">
        <f t="shared" si="38"/>
        <v>0</v>
      </c>
      <c r="G166" s="164">
        <f t="shared" si="38"/>
        <v>0</v>
      </c>
      <c r="H166" s="164">
        <f t="shared" si="38"/>
        <v>144</v>
      </c>
      <c r="I166" s="164">
        <f t="shared" si="38"/>
        <v>34</v>
      </c>
      <c r="J166" s="164">
        <f t="shared" si="38"/>
        <v>96</v>
      </c>
      <c r="K166" s="164">
        <f t="shared" si="38"/>
        <v>13</v>
      </c>
      <c r="L166" s="164">
        <f t="shared" si="38"/>
        <v>77</v>
      </c>
      <c r="M166" s="164">
        <f t="shared" si="38"/>
        <v>18</v>
      </c>
      <c r="N166" s="164">
        <f t="shared" si="38"/>
        <v>44</v>
      </c>
      <c r="O166" s="164">
        <f t="shared" si="38"/>
        <v>12</v>
      </c>
      <c r="P166" s="164">
        <f t="shared" si="38"/>
        <v>361</v>
      </c>
      <c r="Q166" s="164">
        <f t="shared" si="38"/>
        <v>77</v>
      </c>
      <c r="R166" s="164">
        <f t="shared" si="38"/>
        <v>438</v>
      </c>
    </row>
    <row r="167" spans="1:87" ht="15.6" x14ac:dyDescent="0.3">
      <c r="B167" s="182"/>
      <c r="C167" s="164" t="s">
        <v>122</v>
      </c>
      <c r="D167" s="164">
        <f t="shared" si="38"/>
        <v>0</v>
      </c>
      <c r="E167" s="164">
        <f t="shared" si="38"/>
        <v>0</v>
      </c>
      <c r="F167" s="164">
        <f t="shared" si="38"/>
        <v>0</v>
      </c>
      <c r="G167" s="164">
        <f t="shared" si="38"/>
        <v>0</v>
      </c>
      <c r="H167" s="164">
        <f t="shared" si="38"/>
        <v>0</v>
      </c>
      <c r="I167" s="164">
        <f t="shared" si="38"/>
        <v>0</v>
      </c>
      <c r="J167" s="164">
        <f t="shared" si="38"/>
        <v>0</v>
      </c>
      <c r="K167" s="164">
        <f t="shared" si="38"/>
        <v>0</v>
      </c>
      <c r="L167" s="164">
        <f t="shared" si="38"/>
        <v>0</v>
      </c>
      <c r="M167" s="164">
        <f t="shared" si="38"/>
        <v>0</v>
      </c>
      <c r="N167" s="164">
        <f t="shared" si="38"/>
        <v>0</v>
      </c>
      <c r="O167" s="164">
        <f t="shared" si="38"/>
        <v>0</v>
      </c>
      <c r="P167" s="164">
        <f t="shared" si="38"/>
        <v>0</v>
      </c>
      <c r="Q167" s="164">
        <f t="shared" si="38"/>
        <v>0</v>
      </c>
      <c r="R167" s="164">
        <f t="shared" si="38"/>
        <v>0</v>
      </c>
    </row>
    <row r="168" spans="1:87" ht="31.2" x14ac:dyDescent="0.3">
      <c r="A168" s="1"/>
      <c r="B168" s="183"/>
      <c r="C168" s="164" t="s">
        <v>123</v>
      </c>
      <c r="D168" s="164">
        <f t="shared" si="38"/>
        <v>0</v>
      </c>
      <c r="E168" s="164">
        <f t="shared" si="38"/>
        <v>0</v>
      </c>
      <c r="F168" s="164">
        <f t="shared" si="38"/>
        <v>0</v>
      </c>
      <c r="G168" s="164">
        <f t="shared" si="38"/>
        <v>0</v>
      </c>
      <c r="H168" s="164">
        <f t="shared" si="38"/>
        <v>0</v>
      </c>
      <c r="I168" s="164">
        <f t="shared" si="38"/>
        <v>0</v>
      </c>
      <c r="J168" s="164">
        <f t="shared" si="38"/>
        <v>0</v>
      </c>
      <c r="K168" s="164">
        <f t="shared" si="38"/>
        <v>0</v>
      </c>
      <c r="L168" s="164">
        <f t="shared" si="38"/>
        <v>0</v>
      </c>
      <c r="M168" s="164">
        <f t="shared" si="38"/>
        <v>0</v>
      </c>
      <c r="N168" s="164">
        <f t="shared" si="38"/>
        <v>0</v>
      </c>
      <c r="O168" s="164">
        <f t="shared" si="38"/>
        <v>0</v>
      </c>
      <c r="P168" s="164">
        <f t="shared" si="38"/>
        <v>0</v>
      </c>
      <c r="Q168" s="164">
        <f t="shared" si="38"/>
        <v>0</v>
      </c>
      <c r="R168" s="164">
        <f t="shared" si="38"/>
        <v>0</v>
      </c>
    </row>
    <row r="169" spans="1:87" x14ac:dyDescent="0.3">
      <c r="A169" s="1"/>
      <c r="CH169" s="12"/>
      <c r="CI169" s="12"/>
    </row>
    <row r="170" spans="1:87" x14ac:dyDescent="0.3">
      <c r="A170" s="1" t="s">
        <v>38</v>
      </c>
      <c r="CH170" s="12"/>
      <c r="CI170" s="12"/>
    </row>
    <row r="171" spans="1:87" x14ac:dyDescent="0.3">
      <c r="A171" s="1"/>
      <c r="CH171" s="12"/>
      <c r="CI171" s="12"/>
    </row>
    <row r="172" spans="1:87" ht="72" customHeight="1" x14ac:dyDescent="0.3">
      <c r="A172" s="52" t="s">
        <v>6</v>
      </c>
      <c r="B172" s="52" t="s">
        <v>18</v>
      </c>
      <c r="C172" s="230" t="s">
        <v>55</v>
      </c>
      <c r="D172" s="230"/>
      <c r="E172" s="230" t="s">
        <v>56</v>
      </c>
      <c r="F172" s="230"/>
      <c r="G172" s="230" t="s">
        <v>57</v>
      </c>
      <c r="H172" s="230"/>
      <c r="I172" s="230" t="s">
        <v>58</v>
      </c>
      <c r="J172" s="230"/>
      <c r="K172" s="230" t="s">
        <v>59</v>
      </c>
      <c r="L172" s="230"/>
      <c r="M172" s="230" t="s">
        <v>60</v>
      </c>
      <c r="N172" s="230"/>
      <c r="O172" s="230" t="s">
        <v>61</v>
      </c>
      <c r="P172" s="230"/>
      <c r="Q172" s="240" t="s">
        <v>10</v>
      </c>
      <c r="R172" s="241"/>
      <c r="S172" s="241"/>
      <c r="T172" s="167"/>
      <c r="U172" s="123"/>
      <c r="CH172" s="12"/>
      <c r="CI172" s="12"/>
    </row>
    <row r="173" spans="1:87" x14ac:dyDescent="0.3">
      <c r="A173" s="70"/>
      <c r="B173" s="70"/>
      <c r="C173" s="145" t="s">
        <v>43</v>
      </c>
      <c r="D173" s="145" t="s">
        <v>30</v>
      </c>
      <c r="E173" s="145" t="s">
        <v>43</v>
      </c>
      <c r="F173" s="145" t="s">
        <v>30</v>
      </c>
      <c r="G173" s="145" t="s">
        <v>43</v>
      </c>
      <c r="H173" s="145" t="s">
        <v>30</v>
      </c>
      <c r="I173" s="145" t="s">
        <v>43</v>
      </c>
      <c r="J173" s="145" t="s">
        <v>30</v>
      </c>
      <c r="K173" s="145" t="s">
        <v>43</v>
      </c>
      <c r="L173" s="145" t="s">
        <v>30</v>
      </c>
      <c r="M173" s="145" t="s">
        <v>43</v>
      </c>
      <c r="N173" s="145" t="s">
        <v>30</v>
      </c>
      <c r="O173" s="145" t="s">
        <v>43</v>
      </c>
      <c r="P173" s="145" t="s">
        <v>30</v>
      </c>
      <c r="Q173" s="145" t="s">
        <v>43</v>
      </c>
      <c r="R173" s="145" t="s">
        <v>30</v>
      </c>
      <c r="S173" s="170" t="s">
        <v>43</v>
      </c>
      <c r="T173" s="168"/>
      <c r="U173" s="28"/>
    </row>
    <row r="174" spans="1:87" x14ac:dyDescent="0.3">
      <c r="A174" s="13">
        <v>1</v>
      </c>
      <c r="B174" s="56" t="s">
        <v>44</v>
      </c>
      <c r="C174" s="18">
        <v>13</v>
      </c>
      <c r="D174" s="18">
        <v>0</v>
      </c>
      <c r="E174" s="18">
        <v>0</v>
      </c>
      <c r="F174" s="18">
        <v>0</v>
      </c>
      <c r="G174" s="18">
        <v>0</v>
      </c>
      <c r="H174" s="18">
        <v>0</v>
      </c>
      <c r="I174" s="18">
        <v>1</v>
      </c>
      <c r="J174" s="18">
        <v>0</v>
      </c>
      <c r="K174" s="18">
        <v>0</v>
      </c>
      <c r="L174" s="18">
        <v>0</v>
      </c>
      <c r="M174" s="18">
        <v>0</v>
      </c>
      <c r="N174" s="18">
        <v>0</v>
      </c>
      <c r="O174" s="18">
        <v>151</v>
      </c>
      <c r="P174" s="18">
        <v>14</v>
      </c>
      <c r="Q174" s="18">
        <f>O174+M174+K174+I174+G174+E174+C174</f>
        <v>165</v>
      </c>
      <c r="R174" s="18">
        <f>P174+N174+L174+J174+H174+F174+D174</f>
        <v>14</v>
      </c>
      <c r="S174" s="18">
        <f>SUM(Q174:R174)</f>
        <v>179</v>
      </c>
      <c r="T174" s="168"/>
      <c r="U174" s="28"/>
    </row>
    <row r="175" spans="1:87" x14ac:dyDescent="0.3">
      <c r="A175" s="13">
        <v>2</v>
      </c>
      <c r="B175" s="56" t="s">
        <v>45</v>
      </c>
      <c r="C175" s="18">
        <v>20</v>
      </c>
      <c r="D175" s="18">
        <v>2</v>
      </c>
      <c r="E175" s="18">
        <v>0</v>
      </c>
      <c r="F175" s="18">
        <v>0</v>
      </c>
      <c r="G175" s="18">
        <v>0</v>
      </c>
      <c r="H175" s="18">
        <v>0</v>
      </c>
      <c r="I175" s="18">
        <v>3</v>
      </c>
      <c r="J175" s="18">
        <v>0</v>
      </c>
      <c r="K175" s="18">
        <v>0</v>
      </c>
      <c r="L175" s="18">
        <v>0</v>
      </c>
      <c r="M175" s="18">
        <v>0</v>
      </c>
      <c r="N175" s="18">
        <v>0</v>
      </c>
      <c r="O175" s="18">
        <v>244</v>
      </c>
      <c r="P175" s="18">
        <v>9</v>
      </c>
      <c r="Q175" s="18">
        <f t="shared" ref="Q175:R180" si="39">O175+M175+K175+I175+G175+E175+C175</f>
        <v>267</v>
      </c>
      <c r="R175" s="18">
        <f t="shared" si="39"/>
        <v>11</v>
      </c>
      <c r="S175" s="18">
        <f t="shared" ref="S175:S180" si="40">SUM(Q175:R175)</f>
        <v>278</v>
      </c>
      <c r="T175" s="168"/>
      <c r="U175" s="28"/>
    </row>
    <row r="176" spans="1:87" x14ac:dyDescent="0.3">
      <c r="A176" s="13">
        <v>3</v>
      </c>
      <c r="B176" s="56" t="s">
        <v>46</v>
      </c>
      <c r="C176" s="18">
        <v>12</v>
      </c>
      <c r="D176" s="18">
        <v>0</v>
      </c>
      <c r="E176" s="18">
        <v>0</v>
      </c>
      <c r="F176" s="18">
        <v>0</v>
      </c>
      <c r="G176" s="18">
        <v>0</v>
      </c>
      <c r="H176" s="18">
        <v>0</v>
      </c>
      <c r="I176" s="18">
        <v>2</v>
      </c>
      <c r="J176" s="18">
        <v>0</v>
      </c>
      <c r="K176" s="18">
        <v>0</v>
      </c>
      <c r="L176" s="18">
        <v>0</v>
      </c>
      <c r="M176" s="18">
        <v>0</v>
      </c>
      <c r="N176" s="18">
        <v>0</v>
      </c>
      <c r="O176" s="18">
        <v>138</v>
      </c>
      <c r="P176" s="18">
        <v>9</v>
      </c>
      <c r="Q176" s="18">
        <f t="shared" si="39"/>
        <v>152</v>
      </c>
      <c r="R176" s="18">
        <f t="shared" si="39"/>
        <v>9</v>
      </c>
      <c r="S176" s="18">
        <f t="shared" si="40"/>
        <v>161</v>
      </c>
      <c r="T176" s="168"/>
      <c r="U176" s="28"/>
    </row>
    <row r="177" spans="1:21" x14ac:dyDescent="0.3">
      <c r="A177" s="13">
        <v>4</v>
      </c>
      <c r="B177" s="56" t="s">
        <v>47</v>
      </c>
      <c r="C177" s="18">
        <v>2</v>
      </c>
      <c r="D177" s="18">
        <v>0</v>
      </c>
      <c r="E177" s="18">
        <v>0</v>
      </c>
      <c r="F177" s="18">
        <v>0</v>
      </c>
      <c r="G177" s="18">
        <v>0</v>
      </c>
      <c r="H177" s="18">
        <v>0</v>
      </c>
      <c r="I177" s="18">
        <v>0</v>
      </c>
      <c r="J177" s="18">
        <v>0</v>
      </c>
      <c r="K177" s="18">
        <v>0</v>
      </c>
      <c r="L177" s="18">
        <v>0</v>
      </c>
      <c r="M177" s="18">
        <v>0</v>
      </c>
      <c r="N177" s="18">
        <v>0</v>
      </c>
      <c r="O177" s="18">
        <v>9</v>
      </c>
      <c r="P177" s="18">
        <v>0</v>
      </c>
      <c r="Q177" s="18">
        <f t="shared" si="39"/>
        <v>11</v>
      </c>
      <c r="R177" s="18">
        <f t="shared" si="39"/>
        <v>0</v>
      </c>
      <c r="S177" s="18">
        <f t="shared" si="40"/>
        <v>11</v>
      </c>
      <c r="T177" s="168"/>
      <c r="U177" s="28"/>
    </row>
    <row r="178" spans="1:21" x14ac:dyDescent="0.3">
      <c r="A178" s="13">
        <v>5</v>
      </c>
      <c r="B178" s="56" t="s">
        <v>48</v>
      </c>
      <c r="C178" s="18">
        <v>0</v>
      </c>
      <c r="D178" s="18">
        <v>0</v>
      </c>
      <c r="E178" s="18">
        <v>0</v>
      </c>
      <c r="F178" s="18">
        <v>0</v>
      </c>
      <c r="G178" s="18">
        <v>0</v>
      </c>
      <c r="H178" s="18">
        <v>0</v>
      </c>
      <c r="I178" s="18">
        <v>0</v>
      </c>
      <c r="J178" s="18">
        <v>0</v>
      </c>
      <c r="K178" s="18">
        <v>0</v>
      </c>
      <c r="L178" s="18">
        <v>0</v>
      </c>
      <c r="M178" s="18">
        <v>0</v>
      </c>
      <c r="N178" s="18">
        <v>0</v>
      </c>
      <c r="O178" s="18">
        <v>0</v>
      </c>
      <c r="P178" s="18">
        <v>0</v>
      </c>
      <c r="Q178" s="18">
        <f t="shared" si="39"/>
        <v>0</v>
      </c>
      <c r="R178" s="18">
        <f t="shared" si="39"/>
        <v>0</v>
      </c>
      <c r="S178" s="18">
        <f t="shared" si="40"/>
        <v>0</v>
      </c>
      <c r="T178" s="168"/>
      <c r="U178" s="28"/>
    </row>
    <row r="179" spans="1:21" x14ac:dyDescent="0.3">
      <c r="A179" s="13">
        <v>6</v>
      </c>
      <c r="B179" s="56" t="s">
        <v>49</v>
      </c>
      <c r="C179" s="18">
        <v>4</v>
      </c>
      <c r="D179" s="18">
        <v>0</v>
      </c>
      <c r="E179" s="18">
        <v>0</v>
      </c>
      <c r="F179" s="18">
        <v>0</v>
      </c>
      <c r="G179" s="18">
        <v>0</v>
      </c>
      <c r="H179" s="18">
        <v>0</v>
      </c>
      <c r="I179" s="18">
        <v>2</v>
      </c>
      <c r="J179" s="18">
        <v>0</v>
      </c>
      <c r="K179" s="18">
        <v>0</v>
      </c>
      <c r="L179" s="18">
        <v>0</v>
      </c>
      <c r="M179" s="18">
        <v>0</v>
      </c>
      <c r="N179" s="18">
        <v>0</v>
      </c>
      <c r="O179" s="18">
        <v>30</v>
      </c>
      <c r="P179" s="18">
        <v>2</v>
      </c>
      <c r="Q179" s="18">
        <f t="shared" si="39"/>
        <v>36</v>
      </c>
      <c r="R179" s="18">
        <f t="shared" si="39"/>
        <v>2</v>
      </c>
      <c r="S179" s="18">
        <f t="shared" si="40"/>
        <v>38</v>
      </c>
      <c r="T179" s="168"/>
      <c r="U179" s="28"/>
    </row>
    <row r="180" spans="1:21" x14ac:dyDescent="0.3">
      <c r="A180" s="13">
        <v>7</v>
      </c>
      <c r="B180" s="56" t="s">
        <v>50</v>
      </c>
      <c r="C180" s="18">
        <v>0</v>
      </c>
      <c r="D180" s="18">
        <v>0</v>
      </c>
      <c r="E180" s="18">
        <v>0</v>
      </c>
      <c r="F180" s="18">
        <v>0</v>
      </c>
      <c r="G180" s="18">
        <v>0</v>
      </c>
      <c r="H180" s="18">
        <v>0</v>
      </c>
      <c r="I180" s="18">
        <v>0</v>
      </c>
      <c r="J180" s="18">
        <v>0</v>
      </c>
      <c r="K180" s="18">
        <v>0</v>
      </c>
      <c r="L180" s="18">
        <v>0</v>
      </c>
      <c r="M180" s="18">
        <v>0</v>
      </c>
      <c r="N180" s="18">
        <v>0</v>
      </c>
      <c r="O180" s="18">
        <v>0</v>
      </c>
      <c r="P180" s="18">
        <v>0</v>
      </c>
      <c r="Q180" s="18">
        <f t="shared" si="39"/>
        <v>0</v>
      </c>
      <c r="R180" s="18">
        <f t="shared" si="39"/>
        <v>0</v>
      </c>
      <c r="S180" s="18">
        <f t="shared" si="40"/>
        <v>0</v>
      </c>
      <c r="T180" s="168"/>
      <c r="U180" s="28"/>
    </row>
    <row r="181" spans="1:21" x14ac:dyDescent="0.3">
      <c r="A181" s="226" t="s">
        <v>10</v>
      </c>
      <c r="B181" s="226"/>
      <c r="C181" s="65">
        <f>SUM(C174:C180)</f>
        <v>51</v>
      </c>
      <c r="D181" s="65">
        <f t="shared" ref="D181:P181" si="41">SUM(D174:D180)</f>
        <v>2</v>
      </c>
      <c r="E181" s="65">
        <f t="shared" si="41"/>
        <v>0</v>
      </c>
      <c r="F181" s="65">
        <f t="shared" si="41"/>
        <v>0</v>
      </c>
      <c r="G181" s="65">
        <f t="shared" si="41"/>
        <v>0</v>
      </c>
      <c r="H181" s="65">
        <f t="shared" si="41"/>
        <v>0</v>
      </c>
      <c r="I181" s="65">
        <f t="shared" si="41"/>
        <v>8</v>
      </c>
      <c r="J181" s="65">
        <f t="shared" si="41"/>
        <v>0</v>
      </c>
      <c r="K181" s="65">
        <f t="shared" si="41"/>
        <v>0</v>
      </c>
      <c r="L181" s="65">
        <f t="shared" si="41"/>
        <v>0</v>
      </c>
      <c r="M181" s="65">
        <f t="shared" si="41"/>
        <v>0</v>
      </c>
      <c r="N181" s="65">
        <f t="shared" si="41"/>
        <v>0</v>
      </c>
      <c r="O181" s="126">
        <f t="shared" si="41"/>
        <v>572</v>
      </c>
      <c r="P181" s="126">
        <f t="shared" si="41"/>
        <v>34</v>
      </c>
      <c r="Q181" s="126">
        <f>SUM(Q174:Q180)</f>
        <v>631</v>
      </c>
      <c r="R181" s="126">
        <f t="shared" ref="R181" si="42">SUM(R174:R180)</f>
        <v>36</v>
      </c>
      <c r="S181" s="126">
        <f>SUM(S174:S180)</f>
        <v>667</v>
      </c>
      <c r="T181" s="169"/>
      <c r="U181" s="124"/>
    </row>
  </sheetData>
  <mergeCells count="69">
    <mergeCell ref="Q172:S172"/>
    <mergeCell ref="A15:B15"/>
    <mergeCell ref="A27:B27"/>
    <mergeCell ref="C30:D30"/>
    <mergeCell ref="E30:F30"/>
    <mergeCell ref="G30:H30"/>
    <mergeCell ref="I30:K30"/>
    <mergeCell ref="A39:B39"/>
    <mergeCell ref="C42:D42"/>
    <mergeCell ref="E42:F42"/>
    <mergeCell ref="G42:H42"/>
    <mergeCell ref="I42:J42"/>
    <mergeCell ref="K42:L42"/>
    <mergeCell ref="A51:B51"/>
    <mergeCell ref="M42:O42"/>
    <mergeCell ref="A63:B63"/>
    <mergeCell ref="A65:S65"/>
    <mergeCell ref="C66:D66"/>
    <mergeCell ref="E66:F66"/>
    <mergeCell ref="G66:H66"/>
    <mergeCell ref="I66:J66"/>
    <mergeCell ref="K66:L66"/>
    <mergeCell ref="M66:N66"/>
    <mergeCell ref="O66:Q66"/>
    <mergeCell ref="A75:B75"/>
    <mergeCell ref="C78:D78"/>
    <mergeCell ref="E78:F78"/>
    <mergeCell ref="G78:H78"/>
    <mergeCell ref="I78:J78"/>
    <mergeCell ref="K78:M78"/>
    <mergeCell ref="A87:B87"/>
    <mergeCell ref="A100:B100"/>
    <mergeCell ref="C104:D104"/>
    <mergeCell ref="E104:F104"/>
    <mergeCell ref="G104:H104"/>
    <mergeCell ref="A181:B181"/>
    <mergeCell ref="K104:L104"/>
    <mergeCell ref="M104:N104"/>
    <mergeCell ref="O104:Q104"/>
    <mergeCell ref="A113:B113"/>
    <mergeCell ref="C172:D172"/>
    <mergeCell ref="E172:F172"/>
    <mergeCell ref="G172:H172"/>
    <mergeCell ref="I172:J172"/>
    <mergeCell ref="K172:L172"/>
    <mergeCell ref="M172:N172"/>
    <mergeCell ref="I104:J104"/>
    <mergeCell ref="O172:P172"/>
    <mergeCell ref="B114:R114"/>
    <mergeCell ref="B115:B118"/>
    <mergeCell ref="C115:C118"/>
    <mergeCell ref="D115:R115"/>
    <mergeCell ref="D116:E117"/>
    <mergeCell ref="F116:G117"/>
    <mergeCell ref="H116:I117"/>
    <mergeCell ref="J116:K117"/>
    <mergeCell ref="L116:M117"/>
    <mergeCell ref="N116:O117"/>
    <mergeCell ref="P116:R117"/>
    <mergeCell ref="B119:B123"/>
    <mergeCell ref="B124:B128"/>
    <mergeCell ref="B129:B133"/>
    <mergeCell ref="B134:B138"/>
    <mergeCell ref="B139:B143"/>
    <mergeCell ref="B144:B148"/>
    <mergeCell ref="B149:B153"/>
    <mergeCell ref="B154:B158"/>
    <mergeCell ref="B159:B163"/>
    <mergeCell ref="B164:B16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0A531-0C30-40EC-AF3C-4EE3056ABED2}">
  <dimension ref="A1:EE181"/>
  <sheetViews>
    <sheetView tabSelected="1" zoomScale="70" zoomScaleNormal="70" workbookViewId="0">
      <selection activeCell="O181" sqref="O181"/>
    </sheetView>
  </sheetViews>
  <sheetFormatPr baseColWidth="10" defaultRowHeight="14.4" x14ac:dyDescent="0.3"/>
  <cols>
    <col min="1" max="1" width="6.44140625" customWidth="1"/>
    <col min="2" max="2" width="16.21875" customWidth="1"/>
    <col min="3" max="3" width="13.5546875" customWidth="1"/>
  </cols>
  <sheetData>
    <row r="1" spans="1:58" ht="18" x14ac:dyDescent="0.35">
      <c r="A1" s="96" t="s">
        <v>0</v>
      </c>
      <c r="B1" s="107"/>
      <c r="C1" s="107"/>
      <c r="D1" s="107"/>
      <c r="E1" s="107"/>
      <c r="F1" s="107"/>
      <c r="G1" s="107"/>
      <c r="H1" s="107"/>
    </row>
    <row r="2" spans="1:58" ht="18" x14ac:dyDescent="0.35">
      <c r="A2" s="96" t="s">
        <v>1</v>
      </c>
      <c r="B2" s="107"/>
      <c r="C2" s="107"/>
      <c r="D2" s="107"/>
      <c r="E2" s="107"/>
      <c r="F2" s="107"/>
      <c r="G2" s="107"/>
      <c r="H2" s="107"/>
    </row>
    <row r="3" spans="1:58" ht="18" x14ac:dyDescent="0.35">
      <c r="A3" s="96" t="s">
        <v>2</v>
      </c>
      <c r="B3" s="107"/>
      <c r="C3" s="107"/>
      <c r="D3" s="107" t="s">
        <v>88</v>
      </c>
      <c r="E3" s="107"/>
      <c r="F3" s="107"/>
      <c r="G3" s="107"/>
      <c r="H3" s="107"/>
    </row>
    <row r="4" spans="1:58" ht="18" x14ac:dyDescent="0.35">
      <c r="A4" s="96" t="s">
        <v>3</v>
      </c>
      <c r="B4" s="107"/>
      <c r="C4" s="107"/>
      <c r="D4" s="107" t="s">
        <v>76</v>
      </c>
      <c r="E4" s="107"/>
      <c r="F4" s="107"/>
      <c r="G4" s="107"/>
      <c r="H4" s="107"/>
    </row>
    <row r="5" spans="1:58" ht="18" x14ac:dyDescent="0.35">
      <c r="A5" s="96" t="s">
        <v>4</v>
      </c>
      <c r="B5" s="107"/>
      <c r="C5" s="107"/>
      <c r="D5" s="107" t="s">
        <v>89</v>
      </c>
      <c r="E5" s="107"/>
      <c r="F5" s="107"/>
      <c r="G5" s="107"/>
      <c r="H5" s="107"/>
    </row>
    <row r="6" spans="1:58" ht="18.600000000000001" thickBot="1" x14ac:dyDescent="0.4">
      <c r="A6" s="96" t="s">
        <v>5</v>
      </c>
      <c r="B6" s="107"/>
      <c r="C6" s="107"/>
      <c r="D6" s="107"/>
      <c r="E6" s="107"/>
      <c r="F6" s="107"/>
      <c r="G6" s="107"/>
      <c r="H6" s="107"/>
    </row>
    <row r="7" spans="1:58" ht="63" thickBot="1" x14ac:dyDescent="0.35">
      <c r="A7" s="98" t="s">
        <v>6</v>
      </c>
      <c r="B7" s="99" t="s">
        <v>18</v>
      </c>
      <c r="C7" s="98" t="s">
        <v>7</v>
      </c>
      <c r="D7" s="98" t="s">
        <v>8</v>
      </c>
      <c r="E7" s="98" t="s">
        <v>9</v>
      </c>
      <c r="F7" s="98" t="s">
        <v>10</v>
      </c>
    </row>
    <row r="8" spans="1:58" ht="15" thickBot="1" x14ac:dyDescent="0.35">
      <c r="A8" s="5">
        <v>1</v>
      </c>
      <c r="B8" s="55" t="s">
        <v>44</v>
      </c>
      <c r="C8" s="19">
        <v>0</v>
      </c>
      <c r="D8" s="19">
        <v>20</v>
      </c>
      <c r="E8" s="19">
        <v>11</v>
      </c>
      <c r="F8" s="19">
        <v>31</v>
      </c>
      <c r="BB8" s="2"/>
      <c r="BC8" s="2"/>
    </row>
    <row r="9" spans="1:58" ht="15" thickBot="1" x14ac:dyDescent="0.35">
      <c r="A9" s="5">
        <v>2</v>
      </c>
      <c r="B9" s="55" t="s">
        <v>45</v>
      </c>
      <c r="C9" s="19">
        <v>1</v>
      </c>
      <c r="D9" s="19">
        <v>42</v>
      </c>
      <c r="E9" s="19">
        <v>15</v>
      </c>
      <c r="F9" s="19">
        <v>58</v>
      </c>
      <c r="BB9" s="4"/>
      <c r="BC9" s="4"/>
      <c r="BD9" s="4"/>
      <c r="BE9" s="4"/>
      <c r="BF9" s="4"/>
    </row>
    <row r="10" spans="1:58" ht="15" thickBot="1" x14ac:dyDescent="0.35">
      <c r="A10" s="5">
        <v>3</v>
      </c>
      <c r="B10" s="55" t="s">
        <v>46</v>
      </c>
      <c r="C10" s="19">
        <v>0</v>
      </c>
      <c r="D10" s="19">
        <v>79</v>
      </c>
      <c r="E10" s="19">
        <v>37</v>
      </c>
      <c r="F10" s="19">
        <v>116</v>
      </c>
      <c r="BB10" s="4"/>
      <c r="BC10" s="4"/>
      <c r="BD10" s="4"/>
      <c r="BE10" s="4"/>
      <c r="BF10" s="4"/>
    </row>
    <row r="11" spans="1:58" ht="15" thickBot="1" x14ac:dyDescent="0.35">
      <c r="A11" s="5">
        <v>4</v>
      </c>
      <c r="B11" s="55" t="s">
        <v>47</v>
      </c>
      <c r="C11" s="19">
        <v>0</v>
      </c>
      <c r="D11" s="19">
        <v>9</v>
      </c>
      <c r="E11" s="19">
        <v>4</v>
      </c>
      <c r="F11" s="19">
        <v>13</v>
      </c>
      <c r="BB11" s="4"/>
      <c r="BC11" s="4"/>
      <c r="BD11" s="4"/>
      <c r="BE11" s="4"/>
      <c r="BF11" s="4"/>
    </row>
    <row r="12" spans="1:58" ht="15" thickBot="1" x14ac:dyDescent="0.35">
      <c r="A12" s="5">
        <v>5</v>
      </c>
      <c r="B12" s="55" t="s">
        <v>48</v>
      </c>
      <c r="C12" s="19">
        <v>0</v>
      </c>
      <c r="D12" s="19">
        <v>0</v>
      </c>
      <c r="E12" s="19">
        <v>0</v>
      </c>
      <c r="F12" s="19">
        <v>0</v>
      </c>
      <c r="BB12" s="4"/>
      <c r="BC12" s="4"/>
      <c r="BD12" s="4"/>
      <c r="BE12" s="4"/>
      <c r="BF12" s="4"/>
    </row>
    <row r="13" spans="1:58" ht="15" thickBot="1" x14ac:dyDescent="0.35">
      <c r="A13" s="5">
        <v>6</v>
      </c>
      <c r="B13" s="55" t="s">
        <v>49</v>
      </c>
      <c r="C13" s="19">
        <v>0</v>
      </c>
      <c r="D13" s="19">
        <v>3</v>
      </c>
      <c r="E13" s="19">
        <v>1</v>
      </c>
      <c r="F13" s="19">
        <v>4</v>
      </c>
      <c r="BB13" s="4"/>
      <c r="BC13" s="4"/>
      <c r="BD13" s="4"/>
      <c r="BE13" s="4"/>
      <c r="BF13" s="4"/>
    </row>
    <row r="14" spans="1:58" ht="15" thickBot="1" x14ac:dyDescent="0.35">
      <c r="A14" s="5">
        <v>7</v>
      </c>
      <c r="B14" s="55" t="s">
        <v>50</v>
      </c>
      <c r="C14" s="19">
        <v>0</v>
      </c>
      <c r="D14" s="19">
        <v>5</v>
      </c>
      <c r="E14" s="19">
        <v>3</v>
      </c>
      <c r="F14" s="19">
        <v>8</v>
      </c>
      <c r="BB14" s="4"/>
      <c r="BC14" s="4"/>
      <c r="BD14" s="4"/>
      <c r="BE14" s="4"/>
      <c r="BF14" s="4"/>
    </row>
    <row r="15" spans="1:58" ht="15" thickBot="1" x14ac:dyDescent="0.35">
      <c r="A15" s="246" t="s">
        <v>10</v>
      </c>
      <c r="B15" s="247"/>
      <c r="C15" s="131">
        <f>SUM(C8:C14)</f>
        <v>1</v>
      </c>
      <c r="D15" s="131">
        <f>SUM(D8:D14)</f>
        <v>158</v>
      </c>
      <c r="E15" s="131">
        <f>SUM(E8:E14)</f>
        <v>71</v>
      </c>
      <c r="F15" s="131">
        <f>SUM(F8:F14)</f>
        <v>230</v>
      </c>
      <c r="BB15" s="4"/>
      <c r="BC15" s="4"/>
      <c r="BD15" s="4"/>
      <c r="BE15" s="4"/>
      <c r="BF15" s="4"/>
    </row>
    <row r="16" spans="1:58" ht="15" thickBot="1" x14ac:dyDescent="0.35">
      <c r="A16" s="1"/>
      <c r="BB16" s="4"/>
      <c r="BC16" s="4"/>
      <c r="BD16" s="4"/>
      <c r="BE16" s="4"/>
      <c r="BF16" s="4"/>
    </row>
    <row r="17" spans="1:77" ht="18.600000000000001" thickBot="1" x14ac:dyDescent="0.4">
      <c r="A17" s="108" t="s">
        <v>11</v>
      </c>
      <c r="B17" s="107"/>
      <c r="C17" s="107"/>
      <c r="D17" s="107"/>
      <c r="E17" s="107"/>
      <c r="F17" s="107"/>
    </row>
    <row r="18" spans="1:77" ht="18.600000000000001" thickBot="1" x14ac:dyDescent="0.4">
      <c r="A18" s="108" t="s">
        <v>12</v>
      </c>
      <c r="B18" s="107"/>
      <c r="C18" s="107"/>
      <c r="D18" s="107"/>
      <c r="E18" s="107"/>
      <c r="F18" s="107"/>
      <c r="BU18" s="2"/>
      <c r="BV18" s="2"/>
    </row>
    <row r="19" spans="1:77" ht="63" thickBot="1" x14ac:dyDescent="0.35">
      <c r="A19" s="98" t="s">
        <v>6</v>
      </c>
      <c r="B19" s="99" t="s">
        <v>18</v>
      </c>
      <c r="C19" s="146" t="s">
        <v>95</v>
      </c>
      <c r="D19" s="146" t="s">
        <v>14</v>
      </c>
      <c r="E19" s="146" t="s">
        <v>15</v>
      </c>
      <c r="F19" s="146" t="s">
        <v>10</v>
      </c>
      <c r="BU19" s="4"/>
      <c r="BV19" s="4"/>
      <c r="BW19" s="4"/>
      <c r="BX19" s="4"/>
      <c r="BY19" s="4"/>
    </row>
    <row r="20" spans="1:77" ht="16.2" thickBot="1" x14ac:dyDescent="0.35">
      <c r="A20" s="86">
        <v>1</v>
      </c>
      <c r="B20" s="97" t="s">
        <v>44</v>
      </c>
      <c r="C20" s="100">
        <v>0</v>
      </c>
      <c r="D20" s="100">
        <v>0</v>
      </c>
      <c r="E20" s="100">
        <v>0</v>
      </c>
      <c r="F20" s="100">
        <v>0</v>
      </c>
      <c r="BU20" s="4"/>
      <c r="BV20" s="4"/>
      <c r="BW20" s="4"/>
      <c r="BX20" s="4"/>
      <c r="BY20" s="4"/>
    </row>
    <row r="21" spans="1:77" ht="16.2" thickBot="1" x14ac:dyDescent="0.35">
      <c r="A21" s="86">
        <v>2</v>
      </c>
      <c r="B21" s="97" t="s">
        <v>45</v>
      </c>
      <c r="C21" s="100">
        <v>1</v>
      </c>
      <c r="D21" s="100">
        <v>1</v>
      </c>
      <c r="E21" s="100">
        <v>1</v>
      </c>
      <c r="F21" s="100">
        <v>3</v>
      </c>
      <c r="BU21" s="4"/>
      <c r="BV21" s="4"/>
      <c r="BW21" s="4"/>
      <c r="BX21" s="4"/>
      <c r="BY21" s="4"/>
    </row>
    <row r="22" spans="1:77" ht="16.2" thickBot="1" x14ac:dyDescent="0.35">
      <c r="A22" s="86">
        <v>3</v>
      </c>
      <c r="B22" s="97" t="s">
        <v>46</v>
      </c>
      <c r="C22" s="100">
        <v>0</v>
      </c>
      <c r="D22" s="100">
        <v>0</v>
      </c>
      <c r="E22" s="100">
        <v>0</v>
      </c>
      <c r="F22" s="100">
        <v>0</v>
      </c>
      <c r="BU22" s="4"/>
      <c r="BV22" s="4"/>
      <c r="BW22" s="4"/>
      <c r="BX22" s="4"/>
      <c r="BY22" s="4"/>
    </row>
    <row r="23" spans="1:77" ht="16.2" thickBot="1" x14ac:dyDescent="0.35">
      <c r="A23" s="86">
        <v>4</v>
      </c>
      <c r="B23" s="97" t="s">
        <v>47</v>
      </c>
      <c r="C23" s="100">
        <v>0</v>
      </c>
      <c r="D23" s="100">
        <v>0</v>
      </c>
      <c r="E23" s="100">
        <v>0</v>
      </c>
      <c r="F23" s="100">
        <v>0</v>
      </c>
      <c r="BU23" s="4"/>
      <c r="BV23" s="4"/>
      <c r="BW23" s="4"/>
      <c r="BX23" s="4"/>
      <c r="BY23" s="4"/>
    </row>
    <row r="24" spans="1:77" ht="16.2" thickBot="1" x14ac:dyDescent="0.35">
      <c r="A24" s="86">
        <v>5</v>
      </c>
      <c r="B24" s="97" t="s">
        <v>48</v>
      </c>
      <c r="C24" s="100">
        <v>0</v>
      </c>
      <c r="D24" s="100">
        <v>0</v>
      </c>
      <c r="E24" s="100">
        <v>0</v>
      </c>
      <c r="F24" s="100">
        <v>0</v>
      </c>
      <c r="BU24" s="4"/>
      <c r="BV24" s="4"/>
      <c r="BW24" s="4"/>
      <c r="BX24" s="4"/>
      <c r="BY24" s="4"/>
    </row>
    <row r="25" spans="1:77" ht="16.2" thickBot="1" x14ac:dyDescent="0.35">
      <c r="A25" s="86">
        <v>6</v>
      </c>
      <c r="B25" s="97" t="s">
        <v>49</v>
      </c>
      <c r="C25" s="100">
        <v>0</v>
      </c>
      <c r="D25" s="100">
        <v>0</v>
      </c>
      <c r="E25" s="100">
        <v>0</v>
      </c>
      <c r="F25" s="100">
        <v>0</v>
      </c>
      <c r="BU25" s="4"/>
      <c r="BV25" s="4"/>
      <c r="BW25" s="4"/>
      <c r="BX25" s="4"/>
      <c r="BY25" s="4"/>
    </row>
    <row r="26" spans="1:77" ht="16.2" thickBot="1" x14ac:dyDescent="0.35">
      <c r="A26" s="86">
        <v>7</v>
      </c>
      <c r="B26" s="97" t="s">
        <v>50</v>
      </c>
      <c r="C26" s="100">
        <v>0</v>
      </c>
      <c r="D26" s="100">
        <v>0</v>
      </c>
      <c r="E26" s="100">
        <v>0</v>
      </c>
      <c r="F26" s="100">
        <v>0</v>
      </c>
      <c r="BU26" s="4"/>
      <c r="BV26" s="4"/>
      <c r="BW26" s="4"/>
      <c r="BX26" s="4"/>
      <c r="BY26" s="4"/>
    </row>
    <row r="27" spans="1:77" ht="16.2" thickBot="1" x14ac:dyDescent="0.35">
      <c r="A27" s="260" t="s">
        <v>10</v>
      </c>
      <c r="B27" s="267"/>
      <c r="C27" s="147">
        <f>SUM(C20:C26)</f>
        <v>1</v>
      </c>
      <c r="D27" s="147">
        <f>SUM(D20:D26)</f>
        <v>1</v>
      </c>
      <c r="E27" s="147">
        <f>SUM(E20:E26)</f>
        <v>1</v>
      </c>
      <c r="F27" s="147">
        <f>SUM(F20:F26)</f>
        <v>3</v>
      </c>
    </row>
    <row r="28" spans="1:77" x14ac:dyDescent="0.3">
      <c r="A28" s="8"/>
    </row>
    <row r="29" spans="1:77" ht="18" x14ac:dyDescent="0.35">
      <c r="A29" s="108" t="s">
        <v>105</v>
      </c>
      <c r="B29" s="107"/>
      <c r="C29" s="107"/>
      <c r="D29" s="107"/>
      <c r="E29" s="107"/>
      <c r="F29" s="107"/>
    </row>
    <row r="30" spans="1:77" ht="62.4" x14ac:dyDescent="0.3">
      <c r="A30" s="79" t="s">
        <v>6</v>
      </c>
      <c r="B30" s="104" t="s">
        <v>18</v>
      </c>
      <c r="C30" s="259" t="s">
        <v>51</v>
      </c>
      <c r="D30" s="259"/>
      <c r="E30" s="259" t="s">
        <v>52</v>
      </c>
      <c r="F30" s="259"/>
      <c r="G30" s="259" t="s">
        <v>53</v>
      </c>
      <c r="H30" s="259"/>
      <c r="I30" s="271" t="s">
        <v>10</v>
      </c>
      <c r="J30" s="272"/>
      <c r="K30" s="273"/>
    </row>
    <row r="31" spans="1:77" ht="15.6" x14ac:dyDescent="0.3">
      <c r="A31" s="82"/>
      <c r="B31" s="105"/>
      <c r="C31" s="148" t="s">
        <v>29</v>
      </c>
      <c r="D31" s="148" t="s">
        <v>30</v>
      </c>
      <c r="E31" s="148" t="s">
        <v>29</v>
      </c>
      <c r="F31" s="148" t="s">
        <v>30</v>
      </c>
      <c r="G31" s="148" t="s">
        <v>29</v>
      </c>
      <c r="H31" s="148" t="s">
        <v>30</v>
      </c>
      <c r="I31" s="148" t="s">
        <v>29</v>
      </c>
      <c r="J31" s="148" t="s">
        <v>30</v>
      </c>
      <c r="K31" s="148" t="s">
        <v>62</v>
      </c>
    </row>
    <row r="32" spans="1:77" ht="15.6" x14ac:dyDescent="0.3">
      <c r="A32" s="78">
        <v>1</v>
      </c>
      <c r="B32" s="106" t="s">
        <v>44</v>
      </c>
      <c r="C32" s="149">
        <v>0</v>
      </c>
      <c r="D32" s="149">
        <v>0</v>
      </c>
      <c r="E32" s="149">
        <v>0</v>
      </c>
      <c r="F32" s="149">
        <v>0</v>
      </c>
      <c r="G32" s="149">
        <v>0</v>
      </c>
      <c r="H32" s="149">
        <v>0</v>
      </c>
      <c r="I32" s="149">
        <f>G32+E32+C32</f>
        <v>0</v>
      </c>
      <c r="J32" s="149">
        <f>H32+F32+D32</f>
        <v>0</v>
      </c>
      <c r="K32" s="149">
        <f>J32+I32</f>
        <v>0</v>
      </c>
    </row>
    <row r="33" spans="1:17" ht="16.2" thickBot="1" x14ac:dyDescent="0.35">
      <c r="A33" s="86">
        <v>2</v>
      </c>
      <c r="B33" s="95" t="s">
        <v>45</v>
      </c>
      <c r="C33" s="149">
        <v>30</v>
      </c>
      <c r="D33" s="149">
        <v>23</v>
      </c>
      <c r="E33" s="149">
        <v>20</v>
      </c>
      <c r="F33" s="149">
        <v>27</v>
      </c>
      <c r="G33" s="149">
        <v>12</v>
      </c>
      <c r="H33" s="149">
        <v>10</v>
      </c>
      <c r="I33" s="149">
        <f t="shared" ref="I33:I38" si="0">G33+E33+C33</f>
        <v>62</v>
      </c>
      <c r="J33" s="149">
        <f t="shared" ref="J33:J38" si="1">H33+F33+D33</f>
        <v>60</v>
      </c>
      <c r="K33" s="149">
        <f t="shared" ref="K33:K38" si="2">J33+I33</f>
        <v>122</v>
      </c>
    </row>
    <row r="34" spans="1:17" ht="16.2" thickBot="1" x14ac:dyDescent="0.35">
      <c r="A34" s="86">
        <v>3</v>
      </c>
      <c r="B34" s="95" t="s">
        <v>46</v>
      </c>
      <c r="C34" s="149">
        <v>0</v>
      </c>
      <c r="D34" s="149">
        <v>0</v>
      </c>
      <c r="E34" s="149">
        <v>0</v>
      </c>
      <c r="F34" s="149">
        <v>0</v>
      </c>
      <c r="G34" s="149">
        <v>0</v>
      </c>
      <c r="H34" s="149">
        <v>0</v>
      </c>
      <c r="I34" s="149">
        <f t="shared" si="0"/>
        <v>0</v>
      </c>
      <c r="J34" s="149">
        <f t="shared" si="1"/>
        <v>0</v>
      </c>
      <c r="K34" s="149">
        <f t="shared" si="2"/>
        <v>0</v>
      </c>
    </row>
    <row r="35" spans="1:17" ht="16.2" thickBot="1" x14ac:dyDescent="0.35">
      <c r="A35" s="86">
        <v>4</v>
      </c>
      <c r="B35" s="95" t="s">
        <v>47</v>
      </c>
      <c r="C35" s="149">
        <v>0</v>
      </c>
      <c r="D35" s="149">
        <v>0</v>
      </c>
      <c r="E35" s="149">
        <v>0</v>
      </c>
      <c r="F35" s="149">
        <v>0</v>
      </c>
      <c r="G35" s="149">
        <v>0</v>
      </c>
      <c r="H35" s="149">
        <v>0</v>
      </c>
      <c r="I35" s="149">
        <f t="shared" si="0"/>
        <v>0</v>
      </c>
      <c r="J35" s="149">
        <f t="shared" si="1"/>
        <v>0</v>
      </c>
      <c r="K35" s="149">
        <f t="shared" si="2"/>
        <v>0</v>
      </c>
    </row>
    <row r="36" spans="1:17" ht="16.2" thickBot="1" x14ac:dyDescent="0.35">
      <c r="A36" s="86">
        <v>5</v>
      </c>
      <c r="B36" s="95" t="s">
        <v>48</v>
      </c>
      <c r="C36" s="149">
        <v>0</v>
      </c>
      <c r="D36" s="149">
        <v>0</v>
      </c>
      <c r="E36" s="149">
        <v>0</v>
      </c>
      <c r="F36" s="149">
        <v>0</v>
      </c>
      <c r="G36" s="149">
        <v>0</v>
      </c>
      <c r="H36" s="149">
        <v>0</v>
      </c>
      <c r="I36" s="149">
        <f t="shared" si="0"/>
        <v>0</v>
      </c>
      <c r="J36" s="149">
        <f t="shared" si="1"/>
        <v>0</v>
      </c>
      <c r="K36" s="149">
        <f t="shared" si="2"/>
        <v>0</v>
      </c>
    </row>
    <row r="37" spans="1:17" ht="16.2" thickBot="1" x14ac:dyDescent="0.35">
      <c r="A37" s="86">
        <v>6</v>
      </c>
      <c r="B37" s="95" t="s">
        <v>49</v>
      </c>
      <c r="C37" s="149">
        <v>0</v>
      </c>
      <c r="D37" s="149">
        <v>0</v>
      </c>
      <c r="E37" s="149">
        <v>0</v>
      </c>
      <c r="F37" s="149">
        <v>0</v>
      </c>
      <c r="G37" s="149">
        <v>0</v>
      </c>
      <c r="H37" s="149">
        <v>0</v>
      </c>
      <c r="I37" s="149">
        <f t="shared" si="0"/>
        <v>0</v>
      </c>
      <c r="J37" s="149">
        <f t="shared" si="1"/>
        <v>0</v>
      </c>
      <c r="K37" s="149">
        <f t="shared" si="2"/>
        <v>0</v>
      </c>
    </row>
    <row r="38" spans="1:17" ht="16.2" thickBot="1" x14ac:dyDescent="0.35">
      <c r="A38" s="86">
        <v>7</v>
      </c>
      <c r="B38" s="95" t="s">
        <v>50</v>
      </c>
      <c r="C38" s="149">
        <v>0</v>
      </c>
      <c r="D38" s="149">
        <v>0</v>
      </c>
      <c r="E38" s="149">
        <v>0</v>
      </c>
      <c r="F38" s="149">
        <v>0</v>
      </c>
      <c r="G38" s="149">
        <v>0</v>
      </c>
      <c r="H38" s="149">
        <v>0</v>
      </c>
      <c r="I38" s="149">
        <f t="shared" si="0"/>
        <v>0</v>
      </c>
      <c r="J38" s="149">
        <f t="shared" si="1"/>
        <v>0</v>
      </c>
      <c r="K38" s="149">
        <f t="shared" si="2"/>
        <v>0</v>
      </c>
    </row>
    <row r="39" spans="1:17" ht="16.2" thickBot="1" x14ac:dyDescent="0.35">
      <c r="A39" s="260" t="s">
        <v>10</v>
      </c>
      <c r="B39" s="261"/>
      <c r="C39" s="150">
        <f>SUM(C32:C38)</f>
        <v>30</v>
      </c>
      <c r="D39" s="150">
        <f t="shared" ref="D39:K39" si="3">SUM(D32:D38)</f>
        <v>23</v>
      </c>
      <c r="E39" s="150">
        <f t="shared" si="3"/>
        <v>20</v>
      </c>
      <c r="F39" s="150">
        <f t="shared" si="3"/>
        <v>27</v>
      </c>
      <c r="G39" s="150">
        <f t="shared" si="3"/>
        <v>12</v>
      </c>
      <c r="H39" s="150">
        <f t="shared" si="3"/>
        <v>10</v>
      </c>
      <c r="I39" s="150">
        <f t="shared" si="3"/>
        <v>62</v>
      </c>
      <c r="J39" s="150">
        <f t="shared" si="3"/>
        <v>60</v>
      </c>
      <c r="K39" s="150">
        <f t="shared" si="3"/>
        <v>122</v>
      </c>
    </row>
    <row r="40" spans="1:17" x14ac:dyDescent="0.3">
      <c r="A40" s="8"/>
    </row>
    <row r="41" spans="1:17" ht="18" x14ac:dyDescent="0.3">
      <c r="A41" s="1" t="s">
        <v>106</v>
      </c>
    </row>
    <row r="42" spans="1:17" ht="57.6" x14ac:dyDescent="0.3">
      <c r="A42" s="60" t="s">
        <v>6</v>
      </c>
      <c r="B42" s="134" t="s">
        <v>18</v>
      </c>
      <c r="C42" s="230" t="s">
        <v>64</v>
      </c>
      <c r="D42" s="230"/>
      <c r="E42" s="230" t="s">
        <v>63</v>
      </c>
      <c r="F42" s="230"/>
      <c r="G42" s="230" t="s">
        <v>65</v>
      </c>
      <c r="H42" s="230"/>
      <c r="I42" s="230" t="s">
        <v>66</v>
      </c>
      <c r="J42" s="230"/>
      <c r="K42" s="230" t="s">
        <v>61</v>
      </c>
      <c r="L42" s="230"/>
      <c r="M42" s="240" t="s">
        <v>10</v>
      </c>
      <c r="N42" s="241"/>
      <c r="O42" s="242"/>
      <c r="P42" s="123"/>
      <c r="Q42" s="123"/>
    </row>
    <row r="43" spans="1:17" x14ac:dyDescent="0.3">
      <c r="A43" s="75"/>
      <c r="B43" s="151"/>
      <c r="C43" s="137" t="s">
        <v>43</v>
      </c>
      <c r="D43" s="137" t="s">
        <v>30</v>
      </c>
      <c r="E43" s="137" t="s">
        <v>43</v>
      </c>
      <c r="F43" s="137" t="s">
        <v>30</v>
      </c>
      <c r="G43" s="137" t="s">
        <v>43</v>
      </c>
      <c r="H43" s="137" t="s">
        <v>30</v>
      </c>
      <c r="I43" s="137" t="s">
        <v>43</v>
      </c>
      <c r="J43" s="137" t="s">
        <v>30</v>
      </c>
      <c r="K43" s="137" t="s">
        <v>43</v>
      </c>
      <c r="L43" s="137" t="s">
        <v>30</v>
      </c>
      <c r="M43" s="137" t="s">
        <v>43</v>
      </c>
      <c r="N43" s="137" t="s">
        <v>30</v>
      </c>
      <c r="O43" s="137" t="s">
        <v>67</v>
      </c>
      <c r="P43" s="12"/>
    </row>
    <row r="44" spans="1:17" x14ac:dyDescent="0.3">
      <c r="A44" s="14">
        <v>1</v>
      </c>
      <c r="B44" s="152" t="s">
        <v>44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f>K44+I44+G44+E44+C44</f>
        <v>0</v>
      </c>
      <c r="N44" s="18">
        <f>L44+J44+H44+F44+D44</f>
        <v>0</v>
      </c>
      <c r="O44" s="18">
        <v>0</v>
      </c>
      <c r="P44" s="12"/>
    </row>
    <row r="45" spans="1:17" x14ac:dyDescent="0.3">
      <c r="A45" s="14">
        <v>2</v>
      </c>
      <c r="B45" s="152" t="s">
        <v>45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4</v>
      </c>
      <c r="K45" s="18">
        <v>0</v>
      </c>
      <c r="L45" s="18">
        <v>0</v>
      </c>
      <c r="M45" s="18">
        <f t="shared" ref="M45:M50" si="4">K45+I45+G45+E45+C45</f>
        <v>0</v>
      </c>
      <c r="N45" s="18">
        <f t="shared" ref="N45:N50" si="5">L45+J45+H45+F45+D45</f>
        <v>4</v>
      </c>
      <c r="O45" s="18">
        <v>4</v>
      </c>
      <c r="P45" s="12"/>
    </row>
    <row r="46" spans="1:17" x14ac:dyDescent="0.3">
      <c r="A46" s="14">
        <v>3</v>
      </c>
      <c r="B46" s="152" t="s">
        <v>46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f t="shared" si="4"/>
        <v>0</v>
      </c>
      <c r="N46" s="18">
        <f t="shared" si="5"/>
        <v>0</v>
      </c>
      <c r="O46" s="18">
        <v>0</v>
      </c>
      <c r="P46" s="12"/>
    </row>
    <row r="47" spans="1:17" x14ac:dyDescent="0.3">
      <c r="A47" s="14">
        <v>4</v>
      </c>
      <c r="B47" s="152" t="s">
        <v>47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f t="shared" si="4"/>
        <v>0</v>
      </c>
      <c r="N47" s="18">
        <f t="shared" si="5"/>
        <v>0</v>
      </c>
      <c r="O47" s="18">
        <v>0</v>
      </c>
      <c r="P47" s="12"/>
    </row>
    <row r="48" spans="1:17" x14ac:dyDescent="0.3">
      <c r="A48" s="14">
        <v>5</v>
      </c>
      <c r="B48" s="152" t="s">
        <v>48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f t="shared" si="4"/>
        <v>0</v>
      </c>
      <c r="N48" s="18">
        <f t="shared" si="5"/>
        <v>0</v>
      </c>
      <c r="O48" s="18">
        <v>0</v>
      </c>
      <c r="P48" s="12"/>
    </row>
    <row r="49" spans="1:135" x14ac:dyDescent="0.3">
      <c r="A49" s="14">
        <v>6</v>
      </c>
      <c r="B49" s="152" t="s">
        <v>49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f t="shared" si="4"/>
        <v>0</v>
      </c>
      <c r="N49" s="18">
        <f t="shared" si="5"/>
        <v>0</v>
      </c>
      <c r="O49" s="18">
        <v>0</v>
      </c>
      <c r="P49" s="12"/>
    </row>
    <row r="50" spans="1:135" x14ac:dyDescent="0.3">
      <c r="A50" s="14">
        <v>7</v>
      </c>
      <c r="B50" s="152" t="s">
        <v>50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f t="shared" si="4"/>
        <v>0</v>
      </c>
      <c r="N50" s="18">
        <f t="shared" si="5"/>
        <v>0</v>
      </c>
      <c r="O50" s="18">
        <v>0</v>
      </c>
      <c r="P50" s="12"/>
    </row>
    <row r="51" spans="1:135" x14ac:dyDescent="0.3">
      <c r="A51" s="234" t="s">
        <v>10</v>
      </c>
      <c r="B51" s="274"/>
      <c r="C51" s="65">
        <f>SUM(C44:C50)</f>
        <v>0</v>
      </c>
      <c r="D51" s="65">
        <f t="shared" ref="D51:O51" si="6">SUM(D44:D50)</f>
        <v>0</v>
      </c>
      <c r="E51" s="65">
        <f t="shared" si="6"/>
        <v>0</v>
      </c>
      <c r="F51" s="65">
        <f t="shared" si="6"/>
        <v>0</v>
      </c>
      <c r="G51" s="65">
        <f t="shared" si="6"/>
        <v>0</v>
      </c>
      <c r="H51" s="65">
        <f t="shared" si="6"/>
        <v>0</v>
      </c>
      <c r="I51" s="65">
        <f t="shared" si="6"/>
        <v>0</v>
      </c>
      <c r="J51" s="65">
        <f t="shared" si="6"/>
        <v>4</v>
      </c>
      <c r="K51" s="65">
        <f t="shared" si="6"/>
        <v>0</v>
      </c>
      <c r="L51" s="65">
        <f t="shared" si="6"/>
        <v>0</v>
      </c>
      <c r="M51" s="65">
        <f t="shared" si="6"/>
        <v>0</v>
      </c>
      <c r="N51" s="65">
        <f t="shared" si="6"/>
        <v>4</v>
      </c>
      <c r="O51" s="65">
        <f t="shared" si="6"/>
        <v>4</v>
      </c>
      <c r="P51" s="123"/>
    </row>
    <row r="53" spans="1:135" ht="18" x14ac:dyDescent="0.3">
      <c r="A53" s="96" t="s">
        <v>19</v>
      </c>
    </row>
    <row r="54" spans="1:135" ht="18.600000000000001" thickBot="1" x14ac:dyDescent="0.35">
      <c r="A54" s="96" t="s">
        <v>20</v>
      </c>
    </row>
    <row r="55" spans="1:135" ht="63" thickBot="1" x14ac:dyDescent="0.35">
      <c r="A55" s="98" t="s">
        <v>6</v>
      </c>
      <c r="B55" s="99" t="s">
        <v>18</v>
      </c>
      <c r="C55" s="146" t="s">
        <v>99</v>
      </c>
      <c r="D55" s="146" t="s">
        <v>100</v>
      </c>
      <c r="E55" s="146" t="s">
        <v>101</v>
      </c>
      <c r="F55" s="146" t="s">
        <v>102</v>
      </c>
      <c r="G55" s="153" t="s">
        <v>103</v>
      </c>
      <c r="H55" s="153" t="s">
        <v>104</v>
      </c>
      <c r="I55" s="146" t="s">
        <v>10</v>
      </c>
    </row>
    <row r="56" spans="1:135" ht="16.2" thickBot="1" x14ac:dyDescent="0.35">
      <c r="A56" s="86">
        <v>1</v>
      </c>
      <c r="B56" s="83" t="s">
        <v>44</v>
      </c>
      <c r="C56" s="100">
        <v>23</v>
      </c>
      <c r="D56" s="100">
        <v>23</v>
      </c>
      <c r="E56" s="100">
        <v>22</v>
      </c>
      <c r="F56" s="100">
        <v>21</v>
      </c>
      <c r="G56" s="100">
        <v>21</v>
      </c>
      <c r="H56" s="100">
        <v>19</v>
      </c>
      <c r="I56" s="100">
        <f>SUM(C56:H56)</f>
        <v>129</v>
      </c>
      <c r="EC56" s="3"/>
    </row>
    <row r="57" spans="1:135" ht="16.2" thickBot="1" x14ac:dyDescent="0.35">
      <c r="A57" s="86">
        <v>2</v>
      </c>
      <c r="B57" s="97" t="s">
        <v>45</v>
      </c>
      <c r="C57" s="100">
        <v>62</v>
      </c>
      <c r="D57" s="100">
        <v>58</v>
      </c>
      <c r="E57" s="100">
        <v>56</v>
      </c>
      <c r="F57" s="100">
        <v>49</v>
      </c>
      <c r="G57" s="100">
        <v>48</v>
      </c>
      <c r="H57" s="100">
        <v>45</v>
      </c>
      <c r="I57" s="100">
        <f t="shared" ref="I57:I61" si="7">SUM(C57:H57)</f>
        <v>318</v>
      </c>
      <c r="DZ57" s="4"/>
      <c r="EA57" s="4"/>
      <c r="EB57" s="4"/>
      <c r="EC57" s="4"/>
      <c r="ED57" s="4"/>
      <c r="EE57" s="4"/>
    </row>
    <row r="58" spans="1:135" ht="16.2" thickBot="1" x14ac:dyDescent="0.35">
      <c r="A58" s="86">
        <v>3</v>
      </c>
      <c r="B58" s="97" t="s">
        <v>46</v>
      </c>
      <c r="C58" s="101">
        <v>98</v>
      </c>
      <c r="D58" s="100">
        <v>95</v>
      </c>
      <c r="E58" s="100">
        <v>88</v>
      </c>
      <c r="F58" s="100">
        <v>87</v>
      </c>
      <c r="G58" s="101">
        <v>82</v>
      </c>
      <c r="H58" s="100">
        <v>80</v>
      </c>
      <c r="I58" s="100">
        <f t="shared" si="7"/>
        <v>530</v>
      </c>
      <c r="DZ58" s="4"/>
      <c r="EA58" s="4"/>
      <c r="EB58" s="4"/>
      <c r="EC58" s="4"/>
      <c r="ED58" s="4"/>
      <c r="EE58" s="4"/>
    </row>
    <row r="59" spans="1:135" ht="16.2" thickBot="1" x14ac:dyDescent="0.35">
      <c r="A59" s="86">
        <v>4</v>
      </c>
      <c r="B59" s="97" t="s">
        <v>47</v>
      </c>
      <c r="C59" s="103">
        <v>9</v>
      </c>
      <c r="D59" s="100">
        <v>9</v>
      </c>
      <c r="E59" s="100">
        <v>9</v>
      </c>
      <c r="F59" s="100">
        <v>9</v>
      </c>
      <c r="G59" s="100">
        <v>9</v>
      </c>
      <c r="H59" s="100">
        <v>9</v>
      </c>
      <c r="I59" s="100">
        <f t="shared" si="7"/>
        <v>54</v>
      </c>
      <c r="DZ59" s="4"/>
      <c r="EA59" s="4"/>
      <c r="EB59" s="4"/>
      <c r="EC59" s="4"/>
      <c r="ED59" s="4"/>
      <c r="EE59" s="4"/>
    </row>
    <row r="60" spans="1:135" ht="16.2" thickBot="1" x14ac:dyDescent="0.35">
      <c r="A60" s="86">
        <v>5</v>
      </c>
      <c r="B60" s="97" t="s">
        <v>48</v>
      </c>
      <c r="C60" s="101">
        <v>0</v>
      </c>
      <c r="D60" s="100">
        <v>0</v>
      </c>
      <c r="E60" s="100">
        <v>0</v>
      </c>
      <c r="F60" s="100">
        <v>0</v>
      </c>
      <c r="G60" s="101">
        <v>0</v>
      </c>
      <c r="H60" s="100">
        <v>0</v>
      </c>
      <c r="I60" s="100">
        <f t="shared" si="7"/>
        <v>0</v>
      </c>
      <c r="DZ60" s="4"/>
      <c r="EA60" s="4"/>
      <c r="EB60" s="4"/>
      <c r="EC60" s="4"/>
      <c r="ED60" s="4"/>
      <c r="EE60" s="4"/>
    </row>
    <row r="61" spans="1:135" ht="16.2" thickBot="1" x14ac:dyDescent="0.35">
      <c r="A61" s="86">
        <v>6</v>
      </c>
      <c r="B61" s="97" t="s">
        <v>49</v>
      </c>
      <c r="C61" s="100">
        <v>3</v>
      </c>
      <c r="D61" s="100">
        <v>3</v>
      </c>
      <c r="E61" s="100">
        <v>3</v>
      </c>
      <c r="F61" s="100">
        <v>3</v>
      </c>
      <c r="G61" s="100">
        <v>3</v>
      </c>
      <c r="H61" s="100">
        <v>3</v>
      </c>
      <c r="I61" s="100">
        <f t="shared" si="7"/>
        <v>18</v>
      </c>
      <c r="DZ61" s="4"/>
      <c r="EA61" s="4"/>
      <c r="EB61" s="4"/>
      <c r="EC61" s="4"/>
      <c r="ED61" s="4"/>
      <c r="EE61" s="4"/>
    </row>
    <row r="62" spans="1:135" ht="16.2" thickBot="1" x14ac:dyDescent="0.35">
      <c r="A62" s="86">
        <v>7</v>
      </c>
      <c r="B62" s="97" t="s">
        <v>50</v>
      </c>
      <c r="C62" s="100">
        <v>6</v>
      </c>
      <c r="D62" s="100">
        <v>6</v>
      </c>
      <c r="E62" s="100">
        <v>5</v>
      </c>
      <c r="F62" s="100">
        <v>5</v>
      </c>
      <c r="G62" s="100">
        <v>5</v>
      </c>
      <c r="H62" s="100">
        <v>5</v>
      </c>
      <c r="I62" s="100">
        <f>SUM(C62:H62)</f>
        <v>32</v>
      </c>
      <c r="DZ62" s="4"/>
      <c r="EA62" s="4"/>
      <c r="EB62" s="4"/>
      <c r="EC62" s="4"/>
      <c r="ED62" s="4"/>
      <c r="EE62" s="4"/>
    </row>
    <row r="63" spans="1:135" ht="16.2" thickBot="1" x14ac:dyDescent="0.35">
      <c r="A63" s="260" t="s">
        <v>10</v>
      </c>
      <c r="B63" s="267"/>
      <c r="C63" s="147">
        <f>SUM(C56:C62)</f>
        <v>201</v>
      </c>
      <c r="D63" s="147">
        <f t="shared" ref="D63:G63" si="8">SUM(D56:D62)</f>
        <v>194</v>
      </c>
      <c r="E63" s="147">
        <f t="shared" si="8"/>
        <v>183</v>
      </c>
      <c r="F63" s="147">
        <f t="shared" si="8"/>
        <v>174</v>
      </c>
      <c r="G63" s="147">
        <f t="shared" si="8"/>
        <v>168</v>
      </c>
      <c r="H63" s="147">
        <f>SUM(H56:H62)</f>
        <v>161</v>
      </c>
      <c r="I63" s="147">
        <f>SUM(I56:I62)</f>
        <v>1081</v>
      </c>
      <c r="DZ63" s="4"/>
      <c r="EA63" s="4"/>
      <c r="EB63" s="4"/>
      <c r="EC63" s="4"/>
      <c r="ED63" s="4"/>
      <c r="EE63" s="4"/>
    </row>
    <row r="64" spans="1:135" ht="15" thickBot="1" x14ac:dyDescent="0.35">
      <c r="A64" s="1"/>
      <c r="DZ64" s="4"/>
      <c r="EA64" s="4"/>
      <c r="EB64" s="4"/>
      <c r="EC64" s="4"/>
      <c r="ED64" s="4"/>
      <c r="EE64" s="4"/>
    </row>
    <row r="65" spans="1:117" x14ac:dyDescent="0.3">
      <c r="A65" s="255" t="s">
        <v>27</v>
      </c>
      <c r="B65" s="256"/>
      <c r="C65" s="256"/>
      <c r="D65" s="256"/>
      <c r="E65" s="256"/>
      <c r="F65" s="256"/>
      <c r="G65" s="256"/>
      <c r="H65" s="256"/>
      <c r="I65" s="256"/>
      <c r="J65" s="256"/>
      <c r="K65" s="256"/>
      <c r="L65" s="256"/>
      <c r="M65" s="256"/>
      <c r="N65" s="256"/>
      <c r="O65" s="256"/>
      <c r="P65" s="256"/>
      <c r="Q65" s="256"/>
      <c r="R65" s="256"/>
      <c r="S65" s="257"/>
    </row>
    <row r="66" spans="1:117" ht="62.4" x14ac:dyDescent="0.3">
      <c r="A66" s="88" t="s">
        <v>6</v>
      </c>
      <c r="B66" s="88" t="s">
        <v>18</v>
      </c>
      <c r="C66" s="259" t="s">
        <v>99</v>
      </c>
      <c r="D66" s="259"/>
      <c r="E66" s="259" t="s">
        <v>68</v>
      </c>
      <c r="F66" s="259"/>
      <c r="G66" s="259" t="s">
        <v>69</v>
      </c>
      <c r="H66" s="259"/>
      <c r="I66" s="259" t="s">
        <v>39</v>
      </c>
      <c r="J66" s="259"/>
      <c r="K66" s="259" t="s">
        <v>70</v>
      </c>
      <c r="L66" s="259"/>
      <c r="M66" s="259" t="s">
        <v>40</v>
      </c>
      <c r="N66" s="259"/>
      <c r="O66" s="259" t="s">
        <v>10</v>
      </c>
      <c r="P66" s="259"/>
      <c r="Q66" s="259"/>
    </row>
    <row r="67" spans="1:117" ht="15.6" x14ac:dyDescent="0.3">
      <c r="A67" s="91"/>
      <c r="B67" s="91"/>
      <c r="C67" s="148" t="s">
        <v>29</v>
      </c>
      <c r="D67" s="148" t="s">
        <v>30</v>
      </c>
      <c r="E67" s="148" t="s">
        <v>29</v>
      </c>
      <c r="F67" s="148" t="s">
        <v>30</v>
      </c>
      <c r="G67" s="148" t="s">
        <v>29</v>
      </c>
      <c r="H67" s="148" t="s">
        <v>30</v>
      </c>
      <c r="I67" s="148" t="s">
        <v>29</v>
      </c>
      <c r="J67" s="148" t="s">
        <v>30</v>
      </c>
      <c r="K67" s="148" t="s">
        <v>29</v>
      </c>
      <c r="L67" s="148" t="s">
        <v>30</v>
      </c>
      <c r="M67" s="148" t="s">
        <v>29</v>
      </c>
      <c r="N67" s="148" t="s">
        <v>30</v>
      </c>
      <c r="O67" s="148" t="s">
        <v>29</v>
      </c>
      <c r="P67" s="148" t="s">
        <v>30</v>
      </c>
      <c r="Q67" s="148" t="s">
        <v>62</v>
      </c>
    </row>
    <row r="68" spans="1:117" ht="16.2" thickBot="1" x14ac:dyDescent="0.35">
      <c r="A68" s="84">
        <v>1</v>
      </c>
      <c r="B68" s="102" t="s">
        <v>44</v>
      </c>
      <c r="C68" s="100">
        <v>605</v>
      </c>
      <c r="D68" s="100">
        <v>561</v>
      </c>
      <c r="E68" s="100">
        <v>509</v>
      </c>
      <c r="F68" s="100">
        <v>466</v>
      </c>
      <c r="G68" s="100">
        <v>477</v>
      </c>
      <c r="H68" s="100">
        <v>412</v>
      </c>
      <c r="I68" s="100">
        <v>426</v>
      </c>
      <c r="J68" s="100">
        <v>419</v>
      </c>
      <c r="K68" s="100">
        <v>356</v>
      </c>
      <c r="L68" s="100">
        <v>325</v>
      </c>
      <c r="M68" s="100">
        <v>276</v>
      </c>
      <c r="N68" s="100">
        <v>271</v>
      </c>
      <c r="O68" s="149">
        <f>M68+K68+I68+G68+E68+C68</f>
        <v>2649</v>
      </c>
      <c r="P68" s="149">
        <f>N68+L68+J68+H68+F68+D68</f>
        <v>2454</v>
      </c>
      <c r="Q68" s="149">
        <f>P68+O68</f>
        <v>5103</v>
      </c>
      <c r="DL68" s="20"/>
      <c r="DM68" s="20"/>
    </row>
    <row r="69" spans="1:117" ht="16.2" thickBot="1" x14ac:dyDescent="0.35">
      <c r="A69" s="84">
        <v>2</v>
      </c>
      <c r="B69" s="102" t="s">
        <v>45</v>
      </c>
      <c r="C69" s="100">
        <v>2173</v>
      </c>
      <c r="D69" s="100">
        <v>1950</v>
      </c>
      <c r="E69" s="100">
        <v>1646</v>
      </c>
      <c r="F69" s="100">
        <v>1500</v>
      </c>
      <c r="G69" s="100">
        <v>1441</v>
      </c>
      <c r="H69" s="100">
        <v>1298</v>
      </c>
      <c r="I69" s="100">
        <v>1322</v>
      </c>
      <c r="J69" s="100">
        <v>1127</v>
      </c>
      <c r="K69" s="100">
        <v>1161</v>
      </c>
      <c r="L69" s="100">
        <v>992</v>
      </c>
      <c r="M69" s="100">
        <v>1006</v>
      </c>
      <c r="N69" s="100">
        <v>827</v>
      </c>
      <c r="O69" s="149">
        <f t="shared" ref="O69:O74" si="9">M69+K69+I69+G69+E69+C69</f>
        <v>8749</v>
      </c>
      <c r="P69" s="149">
        <f t="shared" ref="P69:P74" si="10">N69+L69+J69+H69+F69+D69</f>
        <v>7694</v>
      </c>
      <c r="Q69" s="149">
        <f t="shared" ref="Q69:Q74" si="11">P69+O69</f>
        <v>16443</v>
      </c>
      <c r="DL69" s="14"/>
      <c r="DM69" s="14"/>
    </row>
    <row r="70" spans="1:117" ht="16.2" thickBot="1" x14ac:dyDescent="0.35">
      <c r="A70" s="84">
        <v>3</v>
      </c>
      <c r="B70" s="102" t="s">
        <v>46</v>
      </c>
      <c r="C70" s="100">
        <v>3608</v>
      </c>
      <c r="D70" s="100">
        <v>3270</v>
      </c>
      <c r="E70" s="101">
        <v>2734</v>
      </c>
      <c r="F70" s="100">
        <v>2627</v>
      </c>
      <c r="G70" s="100">
        <v>2471</v>
      </c>
      <c r="H70" s="101">
        <v>2241</v>
      </c>
      <c r="I70" s="100">
        <v>2169</v>
      </c>
      <c r="J70" s="100">
        <v>1943</v>
      </c>
      <c r="K70" s="100">
        <v>1883</v>
      </c>
      <c r="L70" s="100">
        <v>1761</v>
      </c>
      <c r="M70" s="101">
        <v>1550</v>
      </c>
      <c r="N70" s="100">
        <v>1363</v>
      </c>
      <c r="O70" s="149">
        <f t="shared" si="9"/>
        <v>14415</v>
      </c>
      <c r="P70" s="149">
        <f t="shared" si="10"/>
        <v>13205</v>
      </c>
      <c r="Q70" s="149">
        <f t="shared" si="11"/>
        <v>27620</v>
      </c>
      <c r="DL70" s="24"/>
      <c r="DM70" s="24"/>
    </row>
    <row r="71" spans="1:117" ht="16.2" thickBot="1" x14ac:dyDescent="0.35">
      <c r="A71" s="84">
        <v>4</v>
      </c>
      <c r="B71" s="102" t="s">
        <v>47</v>
      </c>
      <c r="C71" s="100">
        <v>165</v>
      </c>
      <c r="D71" s="100">
        <v>147</v>
      </c>
      <c r="E71" s="100">
        <v>152</v>
      </c>
      <c r="F71" s="100">
        <v>117</v>
      </c>
      <c r="G71" s="100">
        <v>167</v>
      </c>
      <c r="H71" s="100">
        <v>117</v>
      </c>
      <c r="I71" s="100">
        <v>109</v>
      </c>
      <c r="J71" s="100">
        <v>103</v>
      </c>
      <c r="K71" s="100">
        <v>113</v>
      </c>
      <c r="L71" s="100">
        <v>83</v>
      </c>
      <c r="M71" s="100">
        <v>88</v>
      </c>
      <c r="N71" s="100">
        <v>101</v>
      </c>
      <c r="O71" s="149">
        <f t="shared" si="9"/>
        <v>794</v>
      </c>
      <c r="P71" s="149">
        <f t="shared" si="10"/>
        <v>668</v>
      </c>
      <c r="Q71" s="149">
        <f t="shared" si="11"/>
        <v>1462</v>
      </c>
      <c r="DL71" s="24"/>
      <c r="DM71" s="24"/>
    </row>
    <row r="72" spans="1:117" ht="16.2" thickBot="1" x14ac:dyDescent="0.35">
      <c r="A72" s="84">
        <v>5</v>
      </c>
      <c r="B72" s="102" t="s">
        <v>48</v>
      </c>
      <c r="C72" s="100">
        <v>0</v>
      </c>
      <c r="D72" s="100">
        <v>0</v>
      </c>
      <c r="E72" s="101">
        <v>0</v>
      </c>
      <c r="F72" s="100">
        <v>0</v>
      </c>
      <c r="G72" s="100">
        <v>0</v>
      </c>
      <c r="H72" s="101">
        <v>0</v>
      </c>
      <c r="I72" s="100">
        <v>0</v>
      </c>
      <c r="J72" s="100">
        <v>0</v>
      </c>
      <c r="K72" s="100">
        <v>0</v>
      </c>
      <c r="L72" s="100">
        <v>0</v>
      </c>
      <c r="M72" s="101">
        <v>0</v>
      </c>
      <c r="N72" s="100">
        <v>0</v>
      </c>
      <c r="O72" s="149">
        <f t="shared" si="9"/>
        <v>0</v>
      </c>
      <c r="P72" s="149">
        <f t="shared" si="10"/>
        <v>0</v>
      </c>
      <c r="Q72" s="149">
        <f t="shared" si="11"/>
        <v>0</v>
      </c>
      <c r="DL72" s="24"/>
      <c r="DM72" s="24"/>
    </row>
    <row r="73" spans="1:117" ht="16.2" thickBot="1" x14ac:dyDescent="0.35">
      <c r="A73" s="84">
        <v>6</v>
      </c>
      <c r="B73" s="102" t="s">
        <v>49</v>
      </c>
      <c r="C73" s="100">
        <v>124</v>
      </c>
      <c r="D73" s="100">
        <v>115</v>
      </c>
      <c r="E73" s="100">
        <v>93</v>
      </c>
      <c r="F73" s="100">
        <v>87</v>
      </c>
      <c r="G73" s="100">
        <v>105</v>
      </c>
      <c r="H73" s="100">
        <v>77</v>
      </c>
      <c r="I73" s="100">
        <v>118</v>
      </c>
      <c r="J73" s="100">
        <v>102</v>
      </c>
      <c r="K73" s="100">
        <v>83</v>
      </c>
      <c r="L73" s="100">
        <v>60</v>
      </c>
      <c r="M73" s="100">
        <v>70</v>
      </c>
      <c r="N73" s="100">
        <v>65</v>
      </c>
      <c r="O73" s="149">
        <f t="shared" si="9"/>
        <v>593</v>
      </c>
      <c r="P73" s="149">
        <f t="shared" si="10"/>
        <v>506</v>
      </c>
      <c r="Q73" s="149">
        <f t="shared" si="11"/>
        <v>1099</v>
      </c>
      <c r="DL73" s="24"/>
      <c r="DM73" s="24"/>
    </row>
    <row r="74" spans="1:117" ht="16.2" thickBot="1" x14ac:dyDescent="0.35">
      <c r="A74" s="84">
        <v>7</v>
      </c>
      <c r="B74" s="102" t="s">
        <v>50</v>
      </c>
      <c r="C74" s="100">
        <v>118</v>
      </c>
      <c r="D74" s="100">
        <v>128</v>
      </c>
      <c r="E74" s="100">
        <v>84</v>
      </c>
      <c r="F74" s="100">
        <v>117</v>
      </c>
      <c r="G74" s="100">
        <v>86</v>
      </c>
      <c r="H74" s="100">
        <v>94</v>
      </c>
      <c r="I74" s="100">
        <v>87</v>
      </c>
      <c r="J74" s="100">
        <v>103</v>
      </c>
      <c r="K74" s="100">
        <v>64</v>
      </c>
      <c r="L74" s="100">
        <v>93</v>
      </c>
      <c r="M74" s="100">
        <v>85</v>
      </c>
      <c r="N74" s="100">
        <v>89</v>
      </c>
      <c r="O74" s="149">
        <f t="shared" si="9"/>
        <v>524</v>
      </c>
      <c r="P74" s="149">
        <f t="shared" si="10"/>
        <v>624</v>
      </c>
      <c r="Q74" s="149">
        <f t="shared" si="11"/>
        <v>1148</v>
      </c>
      <c r="DL74" s="24"/>
      <c r="DM74" s="24"/>
    </row>
    <row r="75" spans="1:117" ht="15.6" x14ac:dyDescent="0.3">
      <c r="A75" s="266" t="s">
        <v>10</v>
      </c>
      <c r="B75" s="266"/>
      <c r="C75" s="150">
        <f>SUM(C68:C74)</f>
        <v>6793</v>
      </c>
      <c r="D75" s="150">
        <f t="shared" ref="D75:Q75" si="12">SUM(D68:D74)</f>
        <v>6171</v>
      </c>
      <c r="E75" s="150">
        <f t="shared" si="12"/>
        <v>5218</v>
      </c>
      <c r="F75" s="150">
        <f t="shared" si="12"/>
        <v>4914</v>
      </c>
      <c r="G75" s="150">
        <f t="shared" si="12"/>
        <v>4747</v>
      </c>
      <c r="H75" s="150">
        <f t="shared" si="12"/>
        <v>4239</v>
      </c>
      <c r="I75" s="150">
        <f t="shared" si="12"/>
        <v>4231</v>
      </c>
      <c r="J75" s="150">
        <f t="shared" si="12"/>
        <v>3797</v>
      </c>
      <c r="K75" s="150">
        <f t="shared" si="12"/>
        <v>3660</v>
      </c>
      <c r="L75" s="150">
        <f t="shared" si="12"/>
        <v>3314</v>
      </c>
      <c r="M75" s="150">
        <f t="shared" si="12"/>
        <v>3075</v>
      </c>
      <c r="N75" s="150">
        <f t="shared" si="12"/>
        <v>2716</v>
      </c>
      <c r="O75" s="150">
        <f t="shared" si="12"/>
        <v>27724</v>
      </c>
      <c r="P75" s="150">
        <f t="shared" si="12"/>
        <v>25151</v>
      </c>
      <c r="Q75" s="150">
        <f t="shared" si="12"/>
        <v>52875</v>
      </c>
      <c r="DL75" s="24"/>
      <c r="DM75" s="24"/>
    </row>
    <row r="76" spans="1:117" x14ac:dyDescent="0.3">
      <c r="A76" s="1"/>
      <c r="DL76" s="24"/>
      <c r="DM76" s="24"/>
    </row>
    <row r="77" spans="1:117" ht="18" x14ac:dyDescent="0.3">
      <c r="A77" s="96" t="s">
        <v>31</v>
      </c>
      <c r="DL77" s="14"/>
      <c r="DM77" s="14"/>
    </row>
    <row r="78" spans="1:117" ht="62.4" x14ac:dyDescent="0.3">
      <c r="A78" s="88" t="s">
        <v>6</v>
      </c>
      <c r="B78" s="89" t="s">
        <v>18</v>
      </c>
      <c r="C78" s="259" t="s">
        <v>64</v>
      </c>
      <c r="D78" s="259"/>
      <c r="E78" s="259" t="s">
        <v>63</v>
      </c>
      <c r="F78" s="259"/>
      <c r="G78" s="259" t="s">
        <v>66</v>
      </c>
      <c r="H78" s="259"/>
      <c r="I78" s="259" t="s">
        <v>61</v>
      </c>
      <c r="J78" s="259"/>
      <c r="K78" s="263" t="s">
        <v>71</v>
      </c>
      <c r="L78" s="264"/>
      <c r="M78" s="265"/>
    </row>
    <row r="79" spans="1:117" ht="15.6" x14ac:dyDescent="0.3">
      <c r="A79" s="91"/>
      <c r="B79" s="82"/>
      <c r="C79" s="148" t="s">
        <v>43</v>
      </c>
      <c r="D79" s="148" t="s">
        <v>30</v>
      </c>
      <c r="E79" s="148" t="s">
        <v>43</v>
      </c>
      <c r="F79" s="148" t="s">
        <v>30</v>
      </c>
      <c r="G79" s="148" t="s">
        <v>43</v>
      </c>
      <c r="H79" s="148" t="s">
        <v>30</v>
      </c>
      <c r="I79" s="148" t="s">
        <v>43</v>
      </c>
      <c r="J79" s="148" t="s">
        <v>30</v>
      </c>
      <c r="K79" s="148" t="s">
        <v>43</v>
      </c>
      <c r="L79" s="148" t="s">
        <v>30</v>
      </c>
      <c r="M79" s="148" t="s">
        <v>67</v>
      </c>
    </row>
    <row r="80" spans="1:117" ht="15.6" x14ac:dyDescent="0.3">
      <c r="A80" s="149">
        <v>1</v>
      </c>
      <c r="B80" s="109" t="s">
        <v>44</v>
      </c>
      <c r="C80" s="149">
        <v>0</v>
      </c>
      <c r="D80" s="149">
        <v>0</v>
      </c>
      <c r="E80" s="149">
        <v>0</v>
      </c>
      <c r="F80" s="149">
        <v>0</v>
      </c>
      <c r="G80" s="149">
        <v>82</v>
      </c>
      <c r="H80" s="149">
        <v>47</v>
      </c>
      <c r="I80" s="149">
        <v>0</v>
      </c>
      <c r="J80" s="149">
        <v>0</v>
      </c>
      <c r="K80" s="149">
        <f>I80+G80+E80+C80</f>
        <v>82</v>
      </c>
      <c r="L80" s="149">
        <f>J80+H80+F80+D80</f>
        <v>47</v>
      </c>
      <c r="M80" s="149">
        <f>L80+K80</f>
        <v>129</v>
      </c>
    </row>
    <row r="81" spans="1:133" ht="16.2" thickBot="1" x14ac:dyDescent="0.35">
      <c r="A81" s="149">
        <v>2</v>
      </c>
      <c r="B81" s="97" t="s">
        <v>45</v>
      </c>
      <c r="C81" s="149">
        <v>0</v>
      </c>
      <c r="D81" s="149">
        <v>0</v>
      </c>
      <c r="E81" s="149">
        <v>0</v>
      </c>
      <c r="F81" s="149">
        <v>0</v>
      </c>
      <c r="G81" s="149">
        <v>246</v>
      </c>
      <c r="H81" s="149">
        <v>72</v>
      </c>
      <c r="I81" s="149">
        <v>0</v>
      </c>
      <c r="J81" s="149">
        <v>0</v>
      </c>
      <c r="K81" s="149">
        <f t="shared" ref="K81:K86" si="13">I81+G81+E81+C81</f>
        <v>246</v>
      </c>
      <c r="L81" s="149">
        <f t="shared" ref="L81:L86" si="14">J81+H81+F81+D81</f>
        <v>72</v>
      </c>
      <c r="M81" s="149">
        <f t="shared" ref="M81:M86" si="15">L81+K81</f>
        <v>318</v>
      </c>
    </row>
    <row r="82" spans="1:133" ht="16.2" thickBot="1" x14ac:dyDescent="0.35">
      <c r="A82" s="149">
        <v>3</v>
      </c>
      <c r="B82" s="97" t="s">
        <v>46</v>
      </c>
      <c r="C82" s="149">
        <v>0</v>
      </c>
      <c r="D82" s="149">
        <v>0</v>
      </c>
      <c r="E82" s="149">
        <v>0</v>
      </c>
      <c r="F82" s="149">
        <v>0</v>
      </c>
      <c r="G82" s="149">
        <v>365</v>
      </c>
      <c r="H82" s="149">
        <v>165</v>
      </c>
      <c r="I82" s="149">
        <v>0</v>
      </c>
      <c r="J82" s="149">
        <v>0</v>
      </c>
      <c r="K82" s="149">
        <f t="shared" si="13"/>
        <v>365</v>
      </c>
      <c r="L82" s="149">
        <f t="shared" si="14"/>
        <v>165</v>
      </c>
      <c r="M82" s="149">
        <f t="shared" si="15"/>
        <v>530</v>
      </c>
    </row>
    <row r="83" spans="1:133" ht="16.2" thickBot="1" x14ac:dyDescent="0.35">
      <c r="A83" s="149">
        <v>4</v>
      </c>
      <c r="B83" s="97" t="s">
        <v>47</v>
      </c>
      <c r="C83" s="149">
        <v>0</v>
      </c>
      <c r="D83" s="149">
        <v>0</v>
      </c>
      <c r="E83" s="149">
        <v>0</v>
      </c>
      <c r="F83" s="149">
        <v>0</v>
      </c>
      <c r="G83" s="149">
        <v>43</v>
      </c>
      <c r="H83" s="149">
        <v>11</v>
      </c>
      <c r="I83" s="149">
        <v>0</v>
      </c>
      <c r="J83" s="149">
        <v>0</v>
      </c>
      <c r="K83" s="149">
        <f t="shared" si="13"/>
        <v>43</v>
      </c>
      <c r="L83" s="149">
        <f t="shared" si="14"/>
        <v>11</v>
      </c>
      <c r="M83" s="149">
        <f t="shared" si="15"/>
        <v>54</v>
      </c>
    </row>
    <row r="84" spans="1:133" ht="16.2" thickBot="1" x14ac:dyDescent="0.35">
      <c r="A84" s="149">
        <v>5</v>
      </c>
      <c r="B84" s="97" t="s">
        <v>48</v>
      </c>
      <c r="C84" s="149">
        <v>0</v>
      </c>
      <c r="D84" s="149">
        <v>0</v>
      </c>
      <c r="E84" s="149">
        <v>0</v>
      </c>
      <c r="F84" s="149">
        <v>0</v>
      </c>
      <c r="G84" s="149">
        <f>I84-H84</f>
        <v>0</v>
      </c>
      <c r="H84" s="149">
        <v>0</v>
      </c>
      <c r="I84" s="149">
        <v>0</v>
      </c>
      <c r="J84" s="149">
        <v>0</v>
      </c>
      <c r="K84" s="149">
        <f t="shared" si="13"/>
        <v>0</v>
      </c>
      <c r="L84" s="149">
        <f t="shared" si="14"/>
        <v>0</v>
      </c>
      <c r="M84" s="149">
        <f t="shared" si="15"/>
        <v>0</v>
      </c>
    </row>
    <row r="85" spans="1:133" ht="16.2" thickBot="1" x14ac:dyDescent="0.35">
      <c r="A85" s="149">
        <v>6</v>
      </c>
      <c r="B85" s="97" t="s">
        <v>49</v>
      </c>
      <c r="C85" s="149">
        <v>0</v>
      </c>
      <c r="D85" s="149">
        <v>0</v>
      </c>
      <c r="E85" s="149">
        <v>0</v>
      </c>
      <c r="F85" s="149">
        <v>0</v>
      </c>
      <c r="G85" s="149">
        <v>10</v>
      </c>
      <c r="H85" s="149">
        <v>8</v>
      </c>
      <c r="I85" s="149">
        <v>0</v>
      </c>
      <c r="J85" s="149">
        <v>0</v>
      </c>
      <c r="K85" s="149">
        <f t="shared" si="13"/>
        <v>10</v>
      </c>
      <c r="L85" s="149">
        <f t="shared" si="14"/>
        <v>8</v>
      </c>
      <c r="M85" s="149">
        <f t="shared" si="15"/>
        <v>18</v>
      </c>
    </row>
    <row r="86" spans="1:133" ht="16.2" thickBot="1" x14ac:dyDescent="0.35">
      <c r="A86" s="149">
        <v>7</v>
      </c>
      <c r="B86" s="97" t="s">
        <v>50</v>
      </c>
      <c r="C86" s="149">
        <v>0</v>
      </c>
      <c r="D86" s="149">
        <v>0</v>
      </c>
      <c r="E86" s="149">
        <v>0</v>
      </c>
      <c r="F86" s="149">
        <v>0</v>
      </c>
      <c r="G86" s="149">
        <v>18</v>
      </c>
      <c r="H86" s="149">
        <v>14</v>
      </c>
      <c r="I86" s="149">
        <v>0</v>
      </c>
      <c r="J86" s="149">
        <v>0</v>
      </c>
      <c r="K86" s="149">
        <f t="shared" si="13"/>
        <v>18</v>
      </c>
      <c r="L86" s="149">
        <f t="shared" si="14"/>
        <v>14</v>
      </c>
      <c r="M86" s="149">
        <f t="shared" si="15"/>
        <v>32</v>
      </c>
    </row>
    <row r="87" spans="1:133" ht="15.6" x14ac:dyDescent="0.3">
      <c r="A87" s="266" t="s">
        <v>10</v>
      </c>
      <c r="B87" s="266"/>
      <c r="C87" s="150">
        <v>0</v>
      </c>
      <c r="D87" s="150">
        <v>0</v>
      </c>
      <c r="E87" s="150">
        <v>0</v>
      </c>
      <c r="F87" s="150">
        <v>0</v>
      </c>
      <c r="G87" s="150">
        <f>SUM(G80:G86)</f>
        <v>764</v>
      </c>
      <c r="H87" s="150">
        <v>317</v>
      </c>
      <c r="I87" s="150">
        <v>0</v>
      </c>
      <c r="J87" s="150">
        <v>0</v>
      </c>
      <c r="K87" s="150">
        <f t="shared" ref="K87" si="16">M87-L87</f>
        <v>764</v>
      </c>
      <c r="L87" s="150">
        <v>317</v>
      </c>
      <c r="M87" s="150">
        <v>1081</v>
      </c>
    </row>
    <row r="88" spans="1:133" x14ac:dyDescent="0.3">
      <c r="A88" s="1"/>
    </row>
    <row r="89" spans="1:133" x14ac:dyDescent="0.3">
      <c r="A89" s="1"/>
    </row>
    <row r="90" spans="1:133" ht="16.8" customHeight="1" x14ac:dyDescent="0.3">
      <c r="A90" s="96" t="s">
        <v>32</v>
      </c>
    </row>
    <row r="91" spans="1:133" ht="33" customHeight="1" thickBot="1" x14ac:dyDescent="0.35">
      <c r="A91" s="96" t="s">
        <v>33</v>
      </c>
    </row>
    <row r="92" spans="1:133" ht="63" thickBot="1" x14ac:dyDescent="0.35">
      <c r="A92" s="98" t="s">
        <v>6</v>
      </c>
      <c r="B92" s="99" t="s">
        <v>41</v>
      </c>
      <c r="C92" s="98" t="s">
        <v>94</v>
      </c>
      <c r="D92" s="99" t="s">
        <v>42</v>
      </c>
      <c r="E92" s="98" t="s">
        <v>95</v>
      </c>
      <c r="F92" s="98" t="s">
        <v>96</v>
      </c>
      <c r="G92" s="98" t="s">
        <v>97</v>
      </c>
      <c r="H92" s="98" t="s">
        <v>98</v>
      </c>
      <c r="I92" s="98" t="s">
        <v>10</v>
      </c>
    </row>
    <row r="93" spans="1:133" ht="16.2" thickBot="1" x14ac:dyDescent="0.35">
      <c r="A93" s="86">
        <v>1</v>
      </c>
      <c r="B93" s="83" t="s">
        <v>44</v>
      </c>
      <c r="C93" s="29">
        <v>11</v>
      </c>
      <c r="D93" s="29">
        <v>11</v>
      </c>
      <c r="E93" s="29">
        <v>14</v>
      </c>
      <c r="F93" s="29">
        <v>12</v>
      </c>
      <c r="G93" s="29">
        <v>12</v>
      </c>
      <c r="H93" s="29">
        <v>9</v>
      </c>
      <c r="I93" s="100">
        <f>SUM(C93:H93)</f>
        <v>69</v>
      </c>
      <c r="EA93" s="2"/>
    </row>
    <row r="94" spans="1:133" ht="16.2" thickBot="1" x14ac:dyDescent="0.35">
      <c r="A94" s="86">
        <v>2</v>
      </c>
      <c r="B94" s="97" t="s">
        <v>45</v>
      </c>
      <c r="C94" s="30">
        <v>17</v>
      </c>
      <c r="D94" s="30">
        <v>17</v>
      </c>
      <c r="E94" s="30">
        <v>22</v>
      </c>
      <c r="F94" s="30">
        <v>22</v>
      </c>
      <c r="G94" s="30">
        <v>22</v>
      </c>
      <c r="H94" s="30">
        <v>18</v>
      </c>
      <c r="I94" s="100">
        <f t="shared" ref="I94:I99" si="17">SUM(C94:H94)</f>
        <v>118</v>
      </c>
      <c r="DX94" s="4"/>
      <c r="DY94" s="4"/>
      <c r="DZ94" s="4"/>
      <c r="EA94" s="4"/>
      <c r="EB94" s="4"/>
      <c r="EC94" s="4"/>
    </row>
    <row r="95" spans="1:133" ht="16.2" thickBot="1" x14ac:dyDescent="0.35">
      <c r="A95" s="86">
        <v>3</v>
      </c>
      <c r="B95" s="97" t="s">
        <v>46</v>
      </c>
      <c r="C95" s="30">
        <v>39</v>
      </c>
      <c r="D95" s="30">
        <v>39</v>
      </c>
      <c r="E95" s="30">
        <v>53</v>
      </c>
      <c r="F95" s="30">
        <v>51</v>
      </c>
      <c r="G95" s="30">
        <v>48</v>
      </c>
      <c r="H95" s="30">
        <v>41</v>
      </c>
      <c r="I95" s="100">
        <f t="shared" si="17"/>
        <v>271</v>
      </c>
      <c r="DX95" s="4"/>
      <c r="DY95" s="4"/>
      <c r="DZ95" s="4"/>
      <c r="EA95" s="4"/>
      <c r="EB95" s="4"/>
      <c r="EC95" s="4"/>
    </row>
    <row r="96" spans="1:133" ht="16.2" thickBot="1" x14ac:dyDescent="0.35">
      <c r="A96" s="86">
        <v>4</v>
      </c>
      <c r="B96" s="97" t="s">
        <v>47</v>
      </c>
      <c r="C96" s="30">
        <v>4</v>
      </c>
      <c r="D96" s="30">
        <v>4</v>
      </c>
      <c r="E96" s="30">
        <v>4</v>
      </c>
      <c r="F96" s="30">
        <v>4</v>
      </c>
      <c r="G96" s="30">
        <v>4</v>
      </c>
      <c r="H96" s="30">
        <v>2</v>
      </c>
      <c r="I96" s="100">
        <f t="shared" si="17"/>
        <v>22</v>
      </c>
      <c r="DX96" s="4"/>
      <c r="DY96" s="4"/>
      <c r="DZ96" s="4"/>
      <c r="EA96" s="4"/>
      <c r="EB96" s="4"/>
      <c r="EC96" s="4"/>
    </row>
    <row r="97" spans="1:133" ht="16.2" thickBot="1" x14ac:dyDescent="0.35">
      <c r="A97" s="86">
        <v>5</v>
      </c>
      <c r="B97" s="97" t="s">
        <v>48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100">
        <f t="shared" si="17"/>
        <v>0</v>
      </c>
      <c r="DX97" s="4"/>
      <c r="DY97" s="4"/>
      <c r="DZ97" s="4"/>
      <c r="EA97" s="4"/>
      <c r="EB97" s="4"/>
      <c r="EC97" s="4"/>
    </row>
    <row r="98" spans="1:133" ht="16.2" thickBot="1" x14ac:dyDescent="0.35">
      <c r="A98" s="86">
        <v>6</v>
      </c>
      <c r="B98" s="97" t="s">
        <v>49</v>
      </c>
      <c r="C98" s="30">
        <v>3</v>
      </c>
      <c r="D98" s="30">
        <v>3</v>
      </c>
      <c r="E98" s="30">
        <v>3</v>
      </c>
      <c r="F98" s="30">
        <v>3</v>
      </c>
      <c r="G98" s="30">
        <v>3</v>
      </c>
      <c r="H98" s="30">
        <v>3</v>
      </c>
      <c r="I98" s="100">
        <f t="shared" si="17"/>
        <v>18</v>
      </c>
      <c r="DX98" s="4"/>
      <c r="DY98" s="4"/>
      <c r="DZ98" s="4"/>
      <c r="EA98" s="4"/>
      <c r="EB98" s="4"/>
      <c r="EC98" s="4"/>
    </row>
    <row r="99" spans="1:133" ht="16.2" thickBot="1" x14ac:dyDescent="0.35">
      <c r="A99" s="86">
        <v>7</v>
      </c>
      <c r="B99" s="97" t="s">
        <v>50</v>
      </c>
      <c r="C99" s="30">
        <v>3</v>
      </c>
      <c r="D99" s="30">
        <v>3</v>
      </c>
      <c r="E99" s="30">
        <v>6</v>
      </c>
      <c r="F99" s="30">
        <v>6</v>
      </c>
      <c r="G99" s="30">
        <v>6</v>
      </c>
      <c r="H99" s="30">
        <v>4</v>
      </c>
      <c r="I99" s="100">
        <f t="shared" si="17"/>
        <v>28</v>
      </c>
      <c r="DX99" s="4"/>
      <c r="DY99" s="4"/>
      <c r="DZ99" s="4"/>
      <c r="EA99" s="4"/>
      <c r="EB99" s="4"/>
      <c r="EC99" s="4"/>
    </row>
    <row r="100" spans="1:133" ht="16.2" thickBot="1" x14ac:dyDescent="0.35">
      <c r="A100" s="260" t="s">
        <v>10</v>
      </c>
      <c r="B100" s="267"/>
      <c r="C100" s="155">
        <f>SUM(C93:C99)</f>
        <v>77</v>
      </c>
      <c r="D100" s="155">
        <f t="shared" ref="D100:I100" si="18">SUM(D93:D99)</f>
        <v>77</v>
      </c>
      <c r="E100" s="155">
        <f t="shared" si="18"/>
        <v>102</v>
      </c>
      <c r="F100" s="155">
        <f t="shared" si="18"/>
        <v>98</v>
      </c>
      <c r="G100" s="155">
        <f t="shared" si="18"/>
        <v>95</v>
      </c>
      <c r="H100" s="155">
        <f t="shared" si="18"/>
        <v>77</v>
      </c>
      <c r="I100" s="155">
        <f t="shared" si="18"/>
        <v>526</v>
      </c>
      <c r="DX100" s="4"/>
      <c r="DY100" s="4"/>
      <c r="DZ100" s="4"/>
      <c r="EA100" s="4"/>
      <c r="EB100" s="4"/>
      <c r="EC100" s="4"/>
    </row>
    <row r="101" spans="1:133" ht="15" thickBot="1" x14ac:dyDescent="0.35">
      <c r="A101" s="1"/>
      <c r="DX101" s="4"/>
      <c r="DY101" s="4"/>
      <c r="DZ101" s="4"/>
      <c r="EA101" s="4"/>
      <c r="EB101" s="4"/>
      <c r="EC101" s="4"/>
    </row>
    <row r="102" spans="1:133" ht="18" x14ac:dyDescent="0.3">
      <c r="A102" s="96" t="s">
        <v>37</v>
      </c>
    </row>
    <row r="103" spans="1:133" ht="15" thickBot="1" x14ac:dyDescent="0.35">
      <c r="A103" s="1"/>
    </row>
    <row r="104" spans="1:133" ht="62.4" x14ac:dyDescent="0.3">
      <c r="A104" s="87" t="s">
        <v>6</v>
      </c>
      <c r="B104" s="88" t="s">
        <v>18</v>
      </c>
      <c r="C104" s="259" t="s">
        <v>94</v>
      </c>
      <c r="D104" s="259"/>
      <c r="E104" s="259" t="s">
        <v>42</v>
      </c>
      <c r="F104" s="259"/>
      <c r="G104" s="259" t="s">
        <v>95</v>
      </c>
      <c r="H104" s="259"/>
      <c r="I104" s="259" t="s">
        <v>96</v>
      </c>
      <c r="J104" s="259"/>
      <c r="K104" s="259" t="s">
        <v>97</v>
      </c>
      <c r="L104" s="259"/>
      <c r="M104" s="259" t="s">
        <v>98</v>
      </c>
      <c r="N104" s="259"/>
      <c r="O104" s="259" t="s">
        <v>10</v>
      </c>
      <c r="P104" s="259"/>
      <c r="Q104" s="259"/>
    </row>
    <row r="105" spans="1:133" ht="16.2" thickBot="1" x14ac:dyDescent="0.35">
      <c r="A105" s="90"/>
      <c r="B105" s="91"/>
      <c r="C105" s="157" t="s">
        <v>29</v>
      </c>
      <c r="D105" s="157" t="s">
        <v>30</v>
      </c>
      <c r="E105" s="157" t="s">
        <v>29</v>
      </c>
      <c r="F105" s="157" t="s">
        <v>30</v>
      </c>
      <c r="G105" s="157" t="s">
        <v>29</v>
      </c>
      <c r="H105" s="157" t="s">
        <v>30</v>
      </c>
      <c r="I105" s="157" t="s">
        <v>29</v>
      </c>
      <c r="J105" s="157" t="s">
        <v>30</v>
      </c>
      <c r="K105" s="157" t="s">
        <v>29</v>
      </c>
      <c r="L105" s="157" t="s">
        <v>30</v>
      </c>
      <c r="M105" s="157" t="s">
        <v>29</v>
      </c>
      <c r="N105" s="157" t="s">
        <v>30</v>
      </c>
      <c r="O105" s="157" t="s">
        <v>29</v>
      </c>
      <c r="P105" s="157" t="s">
        <v>30</v>
      </c>
      <c r="Q105" s="157" t="s">
        <v>62</v>
      </c>
    </row>
    <row r="106" spans="1:133" ht="16.2" thickBot="1" x14ac:dyDescent="0.35">
      <c r="A106" s="85">
        <v>1</v>
      </c>
      <c r="B106" s="94" t="s">
        <v>44</v>
      </c>
      <c r="C106" s="29">
        <v>384</v>
      </c>
      <c r="D106" s="29">
        <v>266</v>
      </c>
      <c r="E106" s="29">
        <v>400</v>
      </c>
      <c r="F106" s="29">
        <v>244</v>
      </c>
      <c r="G106" s="29">
        <v>204</v>
      </c>
      <c r="H106" s="29">
        <v>163</v>
      </c>
      <c r="I106" s="29">
        <v>141</v>
      </c>
      <c r="J106" s="29">
        <v>107</v>
      </c>
      <c r="K106" s="29">
        <v>134</v>
      </c>
      <c r="L106" s="29">
        <v>90</v>
      </c>
      <c r="M106" s="29">
        <v>128</v>
      </c>
      <c r="N106" s="29">
        <v>72</v>
      </c>
      <c r="O106" s="29">
        <f>M106+K106+I106+G106+E106+C106</f>
        <v>1391</v>
      </c>
      <c r="P106" s="29">
        <f>N106+L106+J106+H106+F106+D106</f>
        <v>942</v>
      </c>
      <c r="Q106" s="25">
        <f>P106+O106</f>
        <v>2333</v>
      </c>
    </row>
    <row r="107" spans="1:133" ht="16.2" thickBot="1" x14ac:dyDescent="0.35">
      <c r="A107" s="85">
        <v>2</v>
      </c>
      <c r="B107" s="94" t="s">
        <v>45</v>
      </c>
      <c r="C107" s="29">
        <v>496</v>
      </c>
      <c r="D107" s="29">
        <v>373</v>
      </c>
      <c r="E107" s="29">
        <v>481</v>
      </c>
      <c r="F107" s="29">
        <v>314</v>
      </c>
      <c r="G107" s="29">
        <v>309</v>
      </c>
      <c r="H107" s="29">
        <v>284</v>
      </c>
      <c r="I107" s="29">
        <v>288</v>
      </c>
      <c r="J107" s="29">
        <v>213</v>
      </c>
      <c r="K107" s="29">
        <v>199</v>
      </c>
      <c r="L107" s="29">
        <v>167</v>
      </c>
      <c r="M107" s="29">
        <v>202</v>
      </c>
      <c r="N107" s="29">
        <v>134</v>
      </c>
      <c r="O107" s="29">
        <f t="shared" ref="O107:O112" si="19">M107+K107+I107+G107+E107+C107</f>
        <v>1975</v>
      </c>
      <c r="P107" s="29">
        <f t="shared" ref="P107:P112" si="20">N107+L107+J107+H107+F107+D107</f>
        <v>1485</v>
      </c>
      <c r="Q107" s="25">
        <f t="shared" ref="Q107:Q112" si="21">P107+O107</f>
        <v>3460</v>
      </c>
    </row>
    <row r="108" spans="1:133" ht="16.2" thickBot="1" x14ac:dyDescent="0.35">
      <c r="A108" s="85">
        <v>3</v>
      </c>
      <c r="B108" s="94" t="s">
        <v>46</v>
      </c>
      <c r="C108" s="29">
        <v>1118</v>
      </c>
      <c r="D108" s="29">
        <v>838</v>
      </c>
      <c r="E108" s="29">
        <v>928</v>
      </c>
      <c r="F108" s="29">
        <v>659</v>
      </c>
      <c r="G108" s="29">
        <v>672</v>
      </c>
      <c r="H108" s="29">
        <v>479</v>
      </c>
      <c r="I108" s="29">
        <v>538</v>
      </c>
      <c r="J108" s="29">
        <v>365</v>
      </c>
      <c r="K108" s="29">
        <v>456</v>
      </c>
      <c r="L108" s="29">
        <v>298</v>
      </c>
      <c r="M108" s="29">
        <v>472</v>
      </c>
      <c r="N108" s="29">
        <v>253</v>
      </c>
      <c r="O108" s="29">
        <f t="shared" si="19"/>
        <v>4184</v>
      </c>
      <c r="P108" s="29">
        <f t="shared" si="20"/>
        <v>2892</v>
      </c>
      <c r="Q108" s="25">
        <f t="shared" si="21"/>
        <v>7076</v>
      </c>
    </row>
    <row r="109" spans="1:133" ht="16.2" thickBot="1" x14ac:dyDescent="0.35">
      <c r="A109" s="86">
        <v>4</v>
      </c>
      <c r="B109" s="95" t="s">
        <v>47</v>
      </c>
      <c r="C109" s="29">
        <v>46</v>
      </c>
      <c r="D109" s="29">
        <v>38</v>
      </c>
      <c r="E109" s="29">
        <v>42</v>
      </c>
      <c r="F109" s="29">
        <v>28</v>
      </c>
      <c r="G109" s="29">
        <v>21</v>
      </c>
      <c r="H109" s="29">
        <v>16</v>
      </c>
      <c r="I109" s="29">
        <v>26</v>
      </c>
      <c r="J109" s="29">
        <v>11</v>
      </c>
      <c r="K109" s="29">
        <v>11</v>
      </c>
      <c r="L109" s="29">
        <v>8</v>
      </c>
      <c r="M109" s="29">
        <v>10</v>
      </c>
      <c r="N109" s="29">
        <v>2</v>
      </c>
      <c r="O109" s="29">
        <f t="shared" si="19"/>
        <v>156</v>
      </c>
      <c r="P109" s="29">
        <f t="shared" si="20"/>
        <v>103</v>
      </c>
      <c r="Q109" s="25">
        <f t="shared" si="21"/>
        <v>259</v>
      </c>
      <c r="CY109" s="89"/>
      <c r="CZ109" s="89"/>
    </row>
    <row r="110" spans="1:133" ht="16.2" thickBot="1" x14ac:dyDescent="0.35">
      <c r="A110" s="86">
        <v>5</v>
      </c>
      <c r="B110" s="95" t="s">
        <v>48</v>
      </c>
      <c r="C110" s="29">
        <v>0</v>
      </c>
      <c r="D110" s="29">
        <v>0</v>
      </c>
      <c r="E110" s="29">
        <v>0</v>
      </c>
      <c r="F110" s="29">
        <v>0</v>
      </c>
      <c r="G110" s="29">
        <v>0</v>
      </c>
      <c r="H110" s="29">
        <v>0</v>
      </c>
      <c r="I110" s="29">
        <v>0</v>
      </c>
      <c r="J110" s="29">
        <v>0</v>
      </c>
      <c r="K110" s="29">
        <v>0</v>
      </c>
      <c r="L110" s="29">
        <v>0</v>
      </c>
      <c r="M110" s="29">
        <v>0</v>
      </c>
      <c r="N110" s="29">
        <v>0</v>
      </c>
      <c r="O110" s="29">
        <f t="shared" si="19"/>
        <v>0</v>
      </c>
      <c r="P110" s="29">
        <f t="shared" si="20"/>
        <v>0</v>
      </c>
      <c r="Q110" s="25">
        <f t="shared" si="21"/>
        <v>0</v>
      </c>
      <c r="CY110" s="92"/>
      <c r="CZ110" s="92"/>
    </row>
    <row r="111" spans="1:133" ht="16.2" thickBot="1" x14ac:dyDescent="0.35">
      <c r="A111" s="86">
        <v>6</v>
      </c>
      <c r="B111" s="95" t="s">
        <v>49</v>
      </c>
      <c r="C111" s="29">
        <v>67</v>
      </c>
      <c r="D111" s="29">
        <v>71</v>
      </c>
      <c r="E111" s="29">
        <v>80</v>
      </c>
      <c r="F111" s="29">
        <v>91</v>
      </c>
      <c r="G111" s="29">
        <v>116</v>
      </c>
      <c r="H111" s="29">
        <v>64</v>
      </c>
      <c r="I111" s="29">
        <v>96</v>
      </c>
      <c r="J111" s="29">
        <v>51</v>
      </c>
      <c r="K111" s="29">
        <v>80</v>
      </c>
      <c r="L111" s="29">
        <v>55</v>
      </c>
      <c r="M111" s="29">
        <v>90</v>
      </c>
      <c r="N111" s="29">
        <v>45</v>
      </c>
      <c r="O111" s="29">
        <f t="shared" si="19"/>
        <v>529</v>
      </c>
      <c r="P111" s="29">
        <f t="shared" si="20"/>
        <v>377</v>
      </c>
      <c r="Q111" s="25">
        <f t="shared" si="21"/>
        <v>906</v>
      </c>
      <c r="CY111" s="29"/>
      <c r="CZ111" s="29"/>
    </row>
    <row r="112" spans="1:133" ht="16.2" thickBot="1" x14ac:dyDescent="0.35">
      <c r="A112" s="86">
        <v>7</v>
      </c>
      <c r="B112" s="95" t="s">
        <v>50</v>
      </c>
      <c r="C112" s="29">
        <v>59</v>
      </c>
      <c r="D112" s="29">
        <v>50</v>
      </c>
      <c r="E112" s="29">
        <v>48</v>
      </c>
      <c r="F112" s="29">
        <v>52</v>
      </c>
      <c r="G112" s="29">
        <v>43</v>
      </c>
      <c r="H112" s="29">
        <v>16</v>
      </c>
      <c r="I112" s="29">
        <v>21</v>
      </c>
      <c r="J112" s="29">
        <v>15</v>
      </c>
      <c r="K112" s="29">
        <v>40</v>
      </c>
      <c r="L112" s="29">
        <v>17</v>
      </c>
      <c r="M112" s="29">
        <v>37</v>
      </c>
      <c r="N112" s="29">
        <v>26</v>
      </c>
      <c r="O112" s="29">
        <f t="shared" si="19"/>
        <v>248</v>
      </c>
      <c r="P112" s="29">
        <f t="shared" si="20"/>
        <v>176</v>
      </c>
      <c r="Q112" s="25">
        <f t="shared" si="21"/>
        <v>424</v>
      </c>
      <c r="CY112" s="29"/>
      <c r="CZ112" s="29"/>
    </row>
    <row r="113" spans="1:104" ht="16.2" thickBot="1" x14ac:dyDescent="0.35">
      <c r="A113" s="260" t="s">
        <v>10</v>
      </c>
      <c r="B113" s="261"/>
      <c r="C113" s="93">
        <f>SUM(C106:C112)</f>
        <v>2170</v>
      </c>
      <c r="D113" s="93">
        <f t="shared" ref="D113:P113" si="22">SUM(D106:D112)</f>
        <v>1636</v>
      </c>
      <c r="E113" s="93">
        <f t="shared" si="22"/>
        <v>1979</v>
      </c>
      <c r="F113" s="93">
        <f t="shared" si="22"/>
        <v>1388</v>
      </c>
      <c r="G113" s="93">
        <f t="shared" si="22"/>
        <v>1365</v>
      </c>
      <c r="H113" s="93">
        <f t="shared" si="22"/>
        <v>1022</v>
      </c>
      <c r="I113" s="93">
        <f t="shared" si="22"/>
        <v>1110</v>
      </c>
      <c r="J113" s="93">
        <f t="shared" si="22"/>
        <v>762</v>
      </c>
      <c r="K113" s="93">
        <f t="shared" si="22"/>
        <v>920</v>
      </c>
      <c r="L113" s="93">
        <f t="shared" si="22"/>
        <v>635</v>
      </c>
      <c r="M113" s="93">
        <f t="shared" si="22"/>
        <v>939</v>
      </c>
      <c r="N113" s="93">
        <f t="shared" si="22"/>
        <v>532</v>
      </c>
      <c r="O113" s="93">
        <f t="shared" si="22"/>
        <v>8483</v>
      </c>
      <c r="P113" s="93">
        <f t="shared" si="22"/>
        <v>5975</v>
      </c>
      <c r="Q113" s="93">
        <f>SUM(Q106:Q112)</f>
        <v>14458</v>
      </c>
      <c r="CY113" s="29"/>
      <c r="CZ113" s="29"/>
    </row>
    <row r="114" spans="1:104" ht="15.6" customHeight="1" x14ac:dyDescent="0.3">
      <c r="B114" s="195" t="s">
        <v>110</v>
      </c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</row>
    <row r="115" spans="1:104" ht="14.4" customHeight="1" x14ac:dyDescent="0.3">
      <c r="B115" s="184" t="s">
        <v>111</v>
      </c>
      <c r="C115" s="181" t="s">
        <v>112</v>
      </c>
      <c r="D115" s="196" t="s">
        <v>113</v>
      </c>
      <c r="E115" s="197"/>
      <c r="F115" s="197"/>
      <c r="G115" s="197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8"/>
    </row>
    <row r="116" spans="1:104" ht="14.4" customHeight="1" x14ac:dyDescent="0.3">
      <c r="B116" s="184"/>
      <c r="C116" s="182"/>
      <c r="D116" s="184" t="s">
        <v>129</v>
      </c>
      <c r="E116" s="184"/>
      <c r="F116" s="184" t="s">
        <v>114</v>
      </c>
      <c r="G116" s="184"/>
      <c r="H116" s="184" t="s">
        <v>130</v>
      </c>
      <c r="I116" s="184"/>
      <c r="J116" s="184" t="s">
        <v>116</v>
      </c>
      <c r="K116" s="184"/>
      <c r="L116" s="184" t="s">
        <v>117</v>
      </c>
      <c r="M116" s="184"/>
      <c r="N116" s="184" t="s">
        <v>118</v>
      </c>
      <c r="O116" s="184"/>
      <c r="P116" s="184" t="s">
        <v>10</v>
      </c>
      <c r="Q116" s="184"/>
      <c r="R116" s="184"/>
    </row>
    <row r="117" spans="1:104" ht="14.4" customHeight="1" x14ac:dyDescent="0.3">
      <c r="B117" s="184"/>
      <c r="C117" s="182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</row>
    <row r="118" spans="1:104" ht="15.6" x14ac:dyDescent="0.3">
      <c r="B118" s="184"/>
      <c r="C118" s="183"/>
      <c r="D118" s="164" t="s">
        <v>29</v>
      </c>
      <c r="E118" s="164" t="s">
        <v>30</v>
      </c>
      <c r="F118" s="164" t="s">
        <v>29</v>
      </c>
      <c r="G118" s="164" t="s">
        <v>30</v>
      </c>
      <c r="H118" s="164" t="s">
        <v>29</v>
      </c>
      <c r="I118" s="164" t="s">
        <v>30</v>
      </c>
      <c r="J118" s="164" t="s">
        <v>29</v>
      </c>
      <c r="K118" s="164" t="s">
        <v>30</v>
      </c>
      <c r="L118" s="164" t="s">
        <v>29</v>
      </c>
      <c r="M118" s="164" t="s">
        <v>30</v>
      </c>
      <c r="N118" s="164" t="s">
        <v>29</v>
      </c>
      <c r="O118" s="164" t="s">
        <v>30</v>
      </c>
      <c r="P118" s="164" t="s">
        <v>29</v>
      </c>
      <c r="Q118" s="164" t="s">
        <v>30</v>
      </c>
      <c r="R118" s="164" t="s">
        <v>54</v>
      </c>
    </row>
    <row r="119" spans="1:104" ht="15.6" x14ac:dyDescent="0.3">
      <c r="B119" s="181" t="s">
        <v>44</v>
      </c>
      <c r="C119" s="164" t="s">
        <v>119</v>
      </c>
      <c r="D119" s="164">
        <f>C106</f>
        <v>384</v>
      </c>
      <c r="E119" s="164">
        <f t="shared" ref="E119:G119" si="23">D106</f>
        <v>266</v>
      </c>
      <c r="F119" s="164">
        <f t="shared" si="23"/>
        <v>400</v>
      </c>
      <c r="G119" s="164">
        <f t="shared" si="23"/>
        <v>244</v>
      </c>
      <c r="H119" s="164"/>
      <c r="I119" s="164"/>
      <c r="J119" s="164"/>
      <c r="K119" s="164"/>
      <c r="L119" s="164"/>
      <c r="M119" s="164"/>
      <c r="N119" s="164"/>
      <c r="O119" s="164"/>
      <c r="P119" s="164">
        <f>N119+L119+J119+H119+F119+D119</f>
        <v>784</v>
      </c>
      <c r="Q119" s="164">
        <f>O119+M119+K119+I119+G119+E119</f>
        <v>510</v>
      </c>
      <c r="R119" s="164">
        <f>Q119+P119</f>
        <v>1294</v>
      </c>
    </row>
    <row r="120" spans="1:104" ht="15.6" x14ac:dyDescent="0.3">
      <c r="B120" s="182"/>
      <c r="C120" s="164" t="s">
        <v>120</v>
      </c>
      <c r="D120" s="164"/>
      <c r="E120" s="164"/>
      <c r="F120" s="164"/>
      <c r="G120" s="164"/>
      <c r="H120" s="164">
        <f>G106-H121</f>
        <v>148</v>
      </c>
      <c r="I120" s="164">
        <f t="shared" ref="I120:O120" si="24">H106-I121</f>
        <v>118</v>
      </c>
      <c r="J120" s="164">
        <f t="shared" si="24"/>
        <v>96</v>
      </c>
      <c r="K120" s="164">
        <f t="shared" si="24"/>
        <v>86</v>
      </c>
      <c r="L120" s="164">
        <f t="shared" si="24"/>
        <v>88</v>
      </c>
      <c r="M120" s="164">
        <f t="shared" si="24"/>
        <v>77</v>
      </c>
      <c r="N120" s="164">
        <f t="shared" si="24"/>
        <v>92</v>
      </c>
      <c r="O120" s="164">
        <f t="shared" si="24"/>
        <v>61</v>
      </c>
      <c r="P120" s="164">
        <f t="shared" ref="P120:Q163" si="25">N120+L120+J120+H120+F120+D120</f>
        <v>424</v>
      </c>
      <c r="Q120" s="164">
        <f t="shared" si="25"/>
        <v>342</v>
      </c>
      <c r="R120" s="164">
        <f t="shared" ref="R120:R163" si="26">Q120+P120</f>
        <v>766</v>
      </c>
    </row>
    <row r="121" spans="1:104" ht="15.6" x14ac:dyDescent="0.3">
      <c r="B121" s="182"/>
      <c r="C121" s="164" t="s">
        <v>121</v>
      </c>
      <c r="D121" s="164"/>
      <c r="E121" s="164"/>
      <c r="F121" s="164"/>
      <c r="G121" s="164"/>
      <c r="H121" s="164">
        <v>56</v>
      </c>
      <c r="I121" s="164">
        <v>45</v>
      </c>
      <c r="J121" s="164">
        <v>45</v>
      </c>
      <c r="K121" s="164">
        <v>21</v>
      </c>
      <c r="L121" s="164">
        <v>46</v>
      </c>
      <c r="M121" s="164">
        <v>13</v>
      </c>
      <c r="N121" s="164">
        <v>36</v>
      </c>
      <c r="O121" s="164">
        <v>11</v>
      </c>
      <c r="P121" s="164">
        <f t="shared" si="25"/>
        <v>183</v>
      </c>
      <c r="Q121" s="164">
        <f t="shared" si="25"/>
        <v>90</v>
      </c>
      <c r="R121" s="164">
        <f t="shared" si="26"/>
        <v>273</v>
      </c>
    </row>
    <row r="122" spans="1:104" ht="31.2" x14ac:dyDescent="0.3">
      <c r="B122" s="182"/>
      <c r="C122" s="164" t="s">
        <v>122</v>
      </c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>
        <f t="shared" si="25"/>
        <v>0</v>
      </c>
      <c r="Q122" s="164">
        <f t="shared" si="25"/>
        <v>0</v>
      </c>
      <c r="R122" s="164">
        <f t="shared" si="26"/>
        <v>0</v>
      </c>
    </row>
    <row r="123" spans="1:104" ht="31.2" x14ac:dyDescent="0.3">
      <c r="B123" s="183"/>
      <c r="C123" s="164" t="s">
        <v>123</v>
      </c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>
        <f t="shared" si="25"/>
        <v>0</v>
      </c>
      <c r="Q123" s="164">
        <f t="shared" si="25"/>
        <v>0</v>
      </c>
      <c r="R123" s="164">
        <f t="shared" si="26"/>
        <v>0</v>
      </c>
    </row>
    <row r="124" spans="1:104" ht="15.6" x14ac:dyDescent="0.3">
      <c r="B124" s="181" t="s">
        <v>45</v>
      </c>
      <c r="C124" s="164" t="s">
        <v>119</v>
      </c>
      <c r="D124" s="164">
        <f>C107</f>
        <v>496</v>
      </c>
      <c r="E124" s="164">
        <f t="shared" ref="E124:G124" si="27">D107</f>
        <v>373</v>
      </c>
      <c r="F124" s="164">
        <f t="shared" si="27"/>
        <v>481</v>
      </c>
      <c r="G124" s="164">
        <f t="shared" si="27"/>
        <v>314</v>
      </c>
      <c r="H124" s="164"/>
      <c r="I124" s="164"/>
      <c r="J124" s="164"/>
      <c r="K124" s="164"/>
      <c r="L124" s="164"/>
      <c r="M124" s="164"/>
      <c r="N124" s="164"/>
      <c r="O124" s="164"/>
      <c r="P124" s="164">
        <f t="shared" si="25"/>
        <v>977</v>
      </c>
      <c r="Q124" s="164">
        <f t="shared" si="25"/>
        <v>687</v>
      </c>
      <c r="R124" s="164">
        <f t="shared" si="26"/>
        <v>1664</v>
      </c>
    </row>
    <row r="125" spans="1:104" ht="15.6" x14ac:dyDescent="0.3">
      <c r="B125" s="182"/>
      <c r="C125" s="164" t="s">
        <v>120</v>
      </c>
      <c r="D125" s="164"/>
      <c r="E125" s="164"/>
      <c r="F125" s="164"/>
      <c r="G125" s="164"/>
      <c r="H125" s="164">
        <f>G107-H126</f>
        <v>250</v>
      </c>
      <c r="I125" s="164">
        <f t="shared" ref="I125:O125" si="28">H107-I126</f>
        <v>209</v>
      </c>
      <c r="J125" s="164">
        <f t="shared" si="28"/>
        <v>245</v>
      </c>
      <c r="K125" s="164">
        <f t="shared" si="28"/>
        <v>205</v>
      </c>
      <c r="L125" s="164">
        <f t="shared" si="28"/>
        <v>154</v>
      </c>
      <c r="M125" s="164">
        <f t="shared" si="28"/>
        <v>161</v>
      </c>
      <c r="N125" s="164">
        <f t="shared" si="28"/>
        <v>178</v>
      </c>
      <c r="O125" s="164">
        <f t="shared" si="28"/>
        <v>125</v>
      </c>
      <c r="P125" s="164">
        <f t="shared" si="25"/>
        <v>827</v>
      </c>
      <c r="Q125" s="164">
        <f t="shared" si="25"/>
        <v>700</v>
      </c>
      <c r="R125" s="164">
        <f t="shared" si="26"/>
        <v>1527</v>
      </c>
    </row>
    <row r="126" spans="1:104" ht="15.6" x14ac:dyDescent="0.3">
      <c r="B126" s="182"/>
      <c r="C126" s="164" t="s">
        <v>121</v>
      </c>
      <c r="D126" s="164"/>
      <c r="E126" s="164"/>
      <c r="F126" s="164"/>
      <c r="G126" s="164"/>
      <c r="H126" s="164">
        <v>59</v>
      </c>
      <c r="I126" s="164">
        <v>75</v>
      </c>
      <c r="J126" s="164">
        <v>43</v>
      </c>
      <c r="K126" s="164">
        <v>8</v>
      </c>
      <c r="L126" s="164">
        <v>45</v>
      </c>
      <c r="M126" s="164">
        <v>6</v>
      </c>
      <c r="N126" s="164">
        <v>24</v>
      </c>
      <c r="O126" s="164">
        <v>9</v>
      </c>
      <c r="P126" s="164">
        <f t="shared" si="25"/>
        <v>171</v>
      </c>
      <c r="Q126" s="164">
        <f t="shared" si="25"/>
        <v>98</v>
      </c>
      <c r="R126" s="164">
        <f t="shared" si="26"/>
        <v>269</v>
      </c>
    </row>
    <row r="127" spans="1:104" ht="31.2" x14ac:dyDescent="0.3">
      <c r="B127" s="182"/>
      <c r="C127" s="164" t="s">
        <v>122</v>
      </c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>
        <f t="shared" si="25"/>
        <v>0</v>
      </c>
      <c r="Q127" s="164">
        <f t="shared" si="25"/>
        <v>0</v>
      </c>
      <c r="R127" s="164">
        <f t="shared" si="26"/>
        <v>0</v>
      </c>
    </row>
    <row r="128" spans="1:104" ht="31.2" x14ac:dyDescent="0.3">
      <c r="B128" s="183"/>
      <c r="C128" s="164" t="s">
        <v>123</v>
      </c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>
        <f t="shared" si="25"/>
        <v>0</v>
      </c>
      <c r="Q128" s="164">
        <f t="shared" si="25"/>
        <v>0</v>
      </c>
      <c r="R128" s="164">
        <f t="shared" si="26"/>
        <v>0</v>
      </c>
    </row>
    <row r="129" spans="2:18" ht="15.6" x14ac:dyDescent="0.3">
      <c r="B129" s="181" t="s">
        <v>46</v>
      </c>
      <c r="C129" s="164" t="s">
        <v>119</v>
      </c>
      <c r="D129" s="164">
        <f>C108</f>
        <v>1118</v>
      </c>
      <c r="E129" s="164">
        <f t="shared" ref="E129:G129" si="29">D108</f>
        <v>838</v>
      </c>
      <c r="F129" s="164">
        <f t="shared" si="29"/>
        <v>928</v>
      </c>
      <c r="G129" s="164">
        <f t="shared" si="29"/>
        <v>659</v>
      </c>
      <c r="H129" s="164"/>
      <c r="I129" s="164"/>
      <c r="J129" s="164"/>
      <c r="K129" s="164"/>
      <c r="L129" s="164"/>
      <c r="M129" s="164"/>
      <c r="N129" s="164"/>
      <c r="O129" s="164"/>
      <c r="P129" s="164">
        <f t="shared" si="25"/>
        <v>2046</v>
      </c>
      <c r="Q129" s="164">
        <f t="shared" si="25"/>
        <v>1497</v>
      </c>
      <c r="R129" s="164">
        <f t="shared" si="26"/>
        <v>3543</v>
      </c>
    </row>
    <row r="130" spans="2:18" ht="15.6" x14ac:dyDescent="0.3">
      <c r="B130" s="182"/>
      <c r="C130" s="164" t="s">
        <v>120</v>
      </c>
      <c r="D130" s="164"/>
      <c r="E130" s="164"/>
      <c r="F130" s="164"/>
      <c r="G130" s="164"/>
      <c r="H130" s="164">
        <f>G108-H131</f>
        <v>550</v>
      </c>
      <c r="I130" s="164">
        <f>H108-I131</f>
        <v>454</v>
      </c>
      <c r="J130" s="164">
        <f t="shared" ref="J130:N130" si="30">I108-J131</f>
        <v>435</v>
      </c>
      <c r="K130" s="164">
        <f t="shared" si="30"/>
        <v>329</v>
      </c>
      <c r="L130" s="164">
        <f t="shared" si="30"/>
        <v>367</v>
      </c>
      <c r="M130" s="164">
        <f t="shared" si="30"/>
        <v>268</v>
      </c>
      <c r="N130" s="164">
        <f t="shared" si="30"/>
        <v>416</v>
      </c>
      <c r="O130" s="164">
        <f>N108-O131</f>
        <v>238</v>
      </c>
      <c r="P130" s="164">
        <f t="shared" si="25"/>
        <v>1768</v>
      </c>
      <c r="Q130" s="164">
        <f t="shared" si="25"/>
        <v>1289</v>
      </c>
      <c r="R130" s="164">
        <f t="shared" si="26"/>
        <v>3057</v>
      </c>
    </row>
    <row r="131" spans="2:18" ht="15.6" x14ac:dyDescent="0.3">
      <c r="B131" s="182"/>
      <c r="C131" s="164" t="s">
        <v>121</v>
      </c>
      <c r="D131" s="164"/>
      <c r="E131" s="164"/>
      <c r="F131" s="164"/>
      <c r="G131" s="164"/>
      <c r="H131" s="164">
        <v>122</v>
      </c>
      <c r="I131" s="164">
        <v>25</v>
      </c>
      <c r="J131" s="164">
        <v>103</v>
      </c>
      <c r="K131" s="164">
        <v>36</v>
      </c>
      <c r="L131" s="164">
        <v>89</v>
      </c>
      <c r="M131" s="164">
        <v>30</v>
      </c>
      <c r="N131" s="164">
        <v>56</v>
      </c>
      <c r="O131" s="164">
        <v>15</v>
      </c>
      <c r="P131" s="164">
        <f t="shared" si="25"/>
        <v>370</v>
      </c>
      <c r="Q131" s="164">
        <f t="shared" si="25"/>
        <v>106</v>
      </c>
      <c r="R131" s="164">
        <f t="shared" si="26"/>
        <v>476</v>
      </c>
    </row>
    <row r="132" spans="2:18" ht="31.2" x14ac:dyDescent="0.3">
      <c r="B132" s="182"/>
      <c r="C132" s="164" t="s">
        <v>122</v>
      </c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>
        <f t="shared" si="25"/>
        <v>0</v>
      </c>
      <c r="Q132" s="164">
        <f t="shared" si="25"/>
        <v>0</v>
      </c>
      <c r="R132" s="164">
        <f t="shared" si="26"/>
        <v>0</v>
      </c>
    </row>
    <row r="133" spans="2:18" ht="31.2" x14ac:dyDescent="0.3">
      <c r="B133" s="183"/>
      <c r="C133" s="164" t="s">
        <v>123</v>
      </c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>
        <f t="shared" si="25"/>
        <v>0</v>
      </c>
      <c r="Q133" s="164">
        <f t="shared" si="25"/>
        <v>0</v>
      </c>
      <c r="R133" s="164">
        <f t="shared" si="26"/>
        <v>0</v>
      </c>
    </row>
    <row r="134" spans="2:18" ht="15.6" x14ac:dyDescent="0.3">
      <c r="B134" s="181" t="s">
        <v>47</v>
      </c>
      <c r="C134" s="164" t="s">
        <v>119</v>
      </c>
      <c r="D134" s="164">
        <f>C109</f>
        <v>46</v>
      </c>
      <c r="E134" s="164">
        <f t="shared" ref="E134:G134" si="31">D109</f>
        <v>38</v>
      </c>
      <c r="F134" s="164">
        <f t="shared" si="31"/>
        <v>42</v>
      </c>
      <c r="G134" s="164">
        <f t="shared" si="31"/>
        <v>28</v>
      </c>
      <c r="H134" s="164"/>
      <c r="I134" s="164"/>
      <c r="J134" s="164"/>
      <c r="K134" s="164"/>
      <c r="L134" s="164"/>
      <c r="M134" s="164"/>
      <c r="N134" s="164"/>
      <c r="O134" s="164"/>
      <c r="P134" s="164">
        <f t="shared" si="25"/>
        <v>88</v>
      </c>
      <c r="Q134" s="164">
        <f t="shared" si="25"/>
        <v>66</v>
      </c>
      <c r="R134" s="164">
        <f t="shared" si="26"/>
        <v>154</v>
      </c>
    </row>
    <row r="135" spans="2:18" ht="15.6" x14ac:dyDescent="0.3">
      <c r="B135" s="182"/>
      <c r="C135" s="164" t="s">
        <v>120</v>
      </c>
      <c r="D135" s="164"/>
      <c r="E135" s="164"/>
      <c r="F135" s="164"/>
      <c r="G135" s="164"/>
      <c r="H135" s="164">
        <f>G109</f>
        <v>21</v>
      </c>
      <c r="I135" s="164">
        <f t="shared" ref="I135:O135" si="32">H109</f>
        <v>16</v>
      </c>
      <c r="J135" s="164">
        <f t="shared" si="32"/>
        <v>26</v>
      </c>
      <c r="K135" s="164">
        <f t="shared" si="32"/>
        <v>11</v>
      </c>
      <c r="L135" s="164">
        <f t="shared" si="32"/>
        <v>11</v>
      </c>
      <c r="M135" s="164">
        <f t="shared" si="32"/>
        <v>8</v>
      </c>
      <c r="N135" s="164">
        <f t="shared" si="32"/>
        <v>10</v>
      </c>
      <c r="O135" s="164">
        <f t="shared" si="32"/>
        <v>2</v>
      </c>
      <c r="P135" s="164">
        <f t="shared" si="25"/>
        <v>68</v>
      </c>
      <c r="Q135" s="164">
        <f t="shared" si="25"/>
        <v>37</v>
      </c>
      <c r="R135" s="164">
        <f t="shared" si="26"/>
        <v>105</v>
      </c>
    </row>
    <row r="136" spans="2:18" ht="15.6" x14ac:dyDescent="0.3">
      <c r="B136" s="182"/>
      <c r="C136" s="164" t="s">
        <v>121</v>
      </c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>
        <f t="shared" si="25"/>
        <v>0</v>
      </c>
      <c r="Q136" s="164">
        <f t="shared" si="25"/>
        <v>0</v>
      </c>
      <c r="R136" s="164">
        <f t="shared" si="26"/>
        <v>0</v>
      </c>
    </row>
    <row r="137" spans="2:18" ht="31.2" x14ac:dyDescent="0.3">
      <c r="B137" s="182"/>
      <c r="C137" s="164" t="s">
        <v>122</v>
      </c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>
        <f t="shared" si="25"/>
        <v>0</v>
      </c>
      <c r="Q137" s="164">
        <f t="shared" si="25"/>
        <v>0</v>
      </c>
      <c r="R137" s="164">
        <f t="shared" si="26"/>
        <v>0</v>
      </c>
    </row>
    <row r="138" spans="2:18" ht="31.2" x14ac:dyDescent="0.3">
      <c r="B138" s="183"/>
      <c r="C138" s="164" t="s">
        <v>123</v>
      </c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>
        <f t="shared" si="25"/>
        <v>0</v>
      </c>
      <c r="Q138" s="164">
        <f t="shared" si="25"/>
        <v>0</v>
      </c>
      <c r="R138" s="164">
        <f t="shared" si="26"/>
        <v>0</v>
      </c>
    </row>
    <row r="139" spans="2:18" ht="15.6" x14ac:dyDescent="0.3">
      <c r="B139" s="185" t="s">
        <v>124</v>
      </c>
      <c r="C139" s="165" t="s">
        <v>119</v>
      </c>
      <c r="D139" s="165"/>
      <c r="E139" s="165"/>
      <c r="F139" s="165"/>
      <c r="G139" s="165"/>
      <c r="H139" s="165"/>
      <c r="I139" s="165"/>
      <c r="J139" s="165"/>
      <c r="K139" s="165"/>
      <c r="L139" s="165"/>
      <c r="M139" s="165"/>
      <c r="N139" s="165"/>
      <c r="O139" s="165"/>
      <c r="P139" s="165">
        <f t="shared" si="25"/>
        <v>0</v>
      </c>
      <c r="Q139" s="165">
        <f t="shared" si="25"/>
        <v>0</v>
      </c>
      <c r="R139" s="165">
        <f t="shared" si="26"/>
        <v>0</v>
      </c>
    </row>
    <row r="140" spans="2:18" ht="15.6" x14ac:dyDescent="0.3">
      <c r="B140" s="186"/>
      <c r="C140" s="165" t="s">
        <v>120</v>
      </c>
      <c r="D140" s="165"/>
      <c r="E140" s="165"/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65">
        <f t="shared" si="25"/>
        <v>0</v>
      </c>
      <c r="Q140" s="165">
        <f t="shared" si="25"/>
        <v>0</v>
      </c>
      <c r="R140" s="165">
        <f t="shared" si="26"/>
        <v>0</v>
      </c>
    </row>
    <row r="141" spans="2:18" ht="15.6" x14ac:dyDescent="0.3">
      <c r="B141" s="186"/>
      <c r="C141" s="165" t="s">
        <v>121</v>
      </c>
      <c r="D141" s="165"/>
      <c r="E141" s="165"/>
      <c r="F141" s="165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>
        <f t="shared" si="25"/>
        <v>0</v>
      </c>
      <c r="Q141" s="165">
        <f t="shared" si="25"/>
        <v>0</v>
      </c>
      <c r="R141" s="165">
        <f t="shared" si="26"/>
        <v>0</v>
      </c>
    </row>
    <row r="142" spans="2:18" ht="31.2" x14ac:dyDescent="0.3">
      <c r="B142" s="186"/>
      <c r="C142" s="165" t="s">
        <v>122</v>
      </c>
      <c r="D142" s="165"/>
      <c r="E142" s="165"/>
      <c r="F142" s="165"/>
      <c r="G142" s="165"/>
      <c r="H142" s="165"/>
      <c r="I142" s="165"/>
      <c r="J142" s="165"/>
      <c r="K142" s="165"/>
      <c r="L142" s="165"/>
      <c r="M142" s="165"/>
      <c r="N142" s="165"/>
      <c r="O142" s="165"/>
      <c r="P142" s="165">
        <f t="shared" si="25"/>
        <v>0</v>
      </c>
      <c r="Q142" s="165">
        <f t="shared" si="25"/>
        <v>0</v>
      </c>
      <c r="R142" s="165">
        <f t="shared" si="26"/>
        <v>0</v>
      </c>
    </row>
    <row r="143" spans="2:18" ht="31.2" x14ac:dyDescent="0.3">
      <c r="B143" s="187"/>
      <c r="C143" s="165" t="s">
        <v>123</v>
      </c>
      <c r="D143" s="165"/>
      <c r="E143" s="165"/>
      <c r="F143" s="165"/>
      <c r="G143" s="165"/>
      <c r="H143" s="165"/>
      <c r="I143" s="165"/>
      <c r="J143" s="165"/>
      <c r="K143" s="165"/>
      <c r="L143" s="165"/>
      <c r="M143" s="165"/>
      <c r="N143" s="165"/>
      <c r="O143" s="165"/>
      <c r="P143" s="165">
        <f t="shared" si="25"/>
        <v>0</v>
      </c>
      <c r="Q143" s="165">
        <f t="shared" si="25"/>
        <v>0</v>
      </c>
      <c r="R143" s="165">
        <f t="shared" si="26"/>
        <v>0</v>
      </c>
    </row>
    <row r="144" spans="2:18" ht="15.6" x14ac:dyDescent="0.3">
      <c r="B144" s="185" t="s">
        <v>125</v>
      </c>
      <c r="C144" s="165" t="s">
        <v>119</v>
      </c>
      <c r="D144" s="165"/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65">
        <f t="shared" si="25"/>
        <v>0</v>
      </c>
      <c r="Q144" s="165">
        <f t="shared" si="25"/>
        <v>0</v>
      </c>
      <c r="R144" s="165">
        <f t="shared" si="26"/>
        <v>0</v>
      </c>
    </row>
    <row r="145" spans="2:18" ht="15.6" x14ac:dyDescent="0.3">
      <c r="B145" s="186"/>
      <c r="C145" s="165" t="s">
        <v>120</v>
      </c>
      <c r="D145" s="165"/>
      <c r="E145" s="165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165">
        <f t="shared" si="25"/>
        <v>0</v>
      </c>
      <c r="Q145" s="165">
        <f t="shared" si="25"/>
        <v>0</v>
      </c>
      <c r="R145" s="165">
        <f t="shared" si="26"/>
        <v>0</v>
      </c>
    </row>
    <row r="146" spans="2:18" ht="15.6" x14ac:dyDescent="0.3">
      <c r="B146" s="186"/>
      <c r="C146" s="165" t="s">
        <v>121</v>
      </c>
      <c r="D146" s="165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>
        <f t="shared" si="25"/>
        <v>0</v>
      </c>
      <c r="Q146" s="165">
        <f t="shared" si="25"/>
        <v>0</v>
      </c>
      <c r="R146" s="165">
        <f t="shared" si="26"/>
        <v>0</v>
      </c>
    </row>
    <row r="147" spans="2:18" ht="31.2" x14ac:dyDescent="0.3">
      <c r="B147" s="186"/>
      <c r="C147" s="165" t="s">
        <v>122</v>
      </c>
      <c r="D147" s="165"/>
      <c r="E147" s="165"/>
      <c r="F147" s="165"/>
      <c r="G147" s="165"/>
      <c r="H147" s="165"/>
      <c r="I147" s="165"/>
      <c r="J147" s="165"/>
      <c r="K147" s="165"/>
      <c r="L147" s="165"/>
      <c r="M147" s="165"/>
      <c r="N147" s="165"/>
      <c r="O147" s="165"/>
      <c r="P147" s="165">
        <f t="shared" si="25"/>
        <v>0</v>
      </c>
      <c r="Q147" s="165">
        <f t="shared" si="25"/>
        <v>0</v>
      </c>
      <c r="R147" s="165">
        <f t="shared" si="26"/>
        <v>0</v>
      </c>
    </row>
    <row r="148" spans="2:18" ht="31.2" x14ac:dyDescent="0.3">
      <c r="B148" s="187"/>
      <c r="C148" s="165" t="s">
        <v>123</v>
      </c>
      <c r="D148" s="165"/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165">
        <f t="shared" si="25"/>
        <v>0</v>
      </c>
      <c r="Q148" s="165">
        <f t="shared" si="25"/>
        <v>0</v>
      </c>
      <c r="R148" s="165">
        <f t="shared" si="26"/>
        <v>0</v>
      </c>
    </row>
    <row r="149" spans="2:18" ht="15.6" x14ac:dyDescent="0.3">
      <c r="B149" s="185" t="s">
        <v>126</v>
      </c>
      <c r="C149" s="165" t="s">
        <v>119</v>
      </c>
      <c r="D149" s="165"/>
      <c r="E149" s="165"/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165">
        <f t="shared" si="25"/>
        <v>0</v>
      </c>
      <c r="Q149" s="165">
        <f t="shared" si="25"/>
        <v>0</v>
      </c>
      <c r="R149" s="165">
        <f t="shared" si="26"/>
        <v>0</v>
      </c>
    </row>
    <row r="150" spans="2:18" ht="15.6" x14ac:dyDescent="0.3">
      <c r="B150" s="186"/>
      <c r="C150" s="165" t="s">
        <v>120</v>
      </c>
      <c r="D150" s="165"/>
      <c r="E150" s="165"/>
      <c r="F150" s="165"/>
      <c r="G150" s="165"/>
      <c r="H150" s="165"/>
      <c r="I150" s="165"/>
      <c r="J150" s="165"/>
      <c r="K150" s="165"/>
      <c r="L150" s="165"/>
      <c r="M150" s="165"/>
      <c r="N150" s="165"/>
      <c r="O150" s="165"/>
      <c r="P150" s="165">
        <f t="shared" si="25"/>
        <v>0</v>
      </c>
      <c r="Q150" s="165">
        <f t="shared" si="25"/>
        <v>0</v>
      </c>
      <c r="R150" s="165">
        <f t="shared" si="26"/>
        <v>0</v>
      </c>
    </row>
    <row r="151" spans="2:18" ht="15.6" x14ac:dyDescent="0.3">
      <c r="B151" s="186"/>
      <c r="C151" s="165" t="s">
        <v>121</v>
      </c>
      <c r="D151" s="165"/>
      <c r="E151" s="165"/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165">
        <f t="shared" si="25"/>
        <v>0</v>
      </c>
      <c r="Q151" s="165">
        <f t="shared" si="25"/>
        <v>0</v>
      </c>
      <c r="R151" s="165">
        <f t="shared" si="26"/>
        <v>0</v>
      </c>
    </row>
    <row r="152" spans="2:18" ht="31.2" x14ac:dyDescent="0.3">
      <c r="B152" s="186"/>
      <c r="C152" s="165" t="s">
        <v>122</v>
      </c>
      <c r="D152" s="165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165">
        <f t="shared" si="25"/>
        <v>0</v>
      </c>
      <c r="Q152" s="165">
        <f t="shared" si="25"/>
        <v>0</v>
      </c>
      <c r="R152" s="165">
        <f t="shared" si="26"/>
        <v>0</v>
      </c>
    </row>
    <row r="153" spans="2:18" ht="31.2" x14ac:dyDescent="0.3">
      <c r="B153" s="187"/>
      <c r="C153" s="165" t="s">
        <v>123</v>
      </c>
      <c r="D153" s="165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>
        <f t="shared" si="25"/>
        <v>0</v>
      </c>
      <c r="Q153" s="165">
        <f t="shared" si="25"/>
        <v>0</v>
      </c>
      <c r="R153" s="165">
        <f t="shared" si="26"/>
        <v>0</v>
      </c>
    </row>
    <row r="154" spans="2:18" ht="15.6" x14ac:dyDescent="0.3">
      <c r="B154" s="181" t="s">
        <v>127</v>
      </c>
      <c r="C154" s="164" t="s">
        <v>119</v>
      </c>
      <c r="D154" s="164">
        <f>C112</f>
        <v>59</v>
      </c>
      <c r="E154" s="164">
        <f t="shared" ref="E154:G154" si="33">D112</f>
        <v>50</v>
      </c>
      <c r="F154" s="164">
        <f t="shared" si="33"/>
        <v>48</v>
      </c>
      <c r="G154" s="164">
        <f t="shared" si="33"/>
        <v>52</v>
      </c>
      <c r="H154" s="164"/>
      <c r="I154" s="164"/>
      <c r="J154" s="164"/>
      <c r="K154" s="164"/>
      <c r="L154" s="164"/>
      <c r="M154" s="164"/>
      <c r="N154" s="164"/>
      <c r="O154" s="164"/>
      <c r="P154" s="164">
        <f t="shared" si="25"/>
        <v>107</v>
      </c>
      <c r="Q154" s="164">
        <f t="shared" si="25"/>
        <v>102</v>
      </c>
      <c r="R154" s="164">
        <f t="shared" si="26"/>
        <v>209</v>
      </c>
    </row>
    <row r="155" spans="2:18" ht="15.6" x14ac:dyDescent="0.3">
      <c r="B155" s="182"/>
      <c r="C155" s="164" t="s">
        <v>120</v>
      </c>
      <c r="D155" s="164"/>
      <c r="E155" s="164"/>
      <c r="F155" s="164"/>
      <c r="G155" s="164"/>
      <c r="H155" s="164">
        <f>G112</f>
        <v>43</v>
      </c>
      <c r="I155" s="164">
        <f t="shared" ref="I155:O155" si="34">H112</f>
        <v>16</v>
      </c>
      <c r="J155" s="164">
        <f t="shared" si="34"/>
        <v>21</v>
      </c>
      <c r="K155" s="164">
        <f t="shared" si="34"/>
        <v>15</v>
      </c>
      <c r="L155" s="164">
        <f t="shared" si="34"/>
        <v>40</v>
      </c>
      <c r="M155" s="164">
        <f t="shared" si="34"/>
        <v>17</v>
      </c>
      <c r="N155" s="164">
        <f t="shared" si="34"/>
        <v>37</v>
      </c>
      <c r="O155" s="164">
        <f t="shared" si="34"/>
        <v>26</v>
      </c>
      <c r="P155" s="164">
        <f t="shared" si="25"/>
        <v>141</v>
      </c>
      <c r="Q155" s="164">
        <f t="shared" si="25"/>
        <v>74</v>
      </c>
      <c r="R155" s="164">
        <f t="shared" si="26"/>
        <v>215</v>
      </c>
    </row>
    <row r="156" spans="2:18" ht="15.6" x14ac:dyDescent="0.3">
      <c r="B156" s="182"/>
      <c r="C156" s="164" t="s">
        <v>121</v>
      </c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>
        <f t="shared" si="25"/>
        <v>0</v>
      </c>
      <c r="Q156" s="164">
        <f t="shared" si="25"/>
        <v>0</v>
      </c>
      <c r="R156" s="164">
        <f t="shared" si="26"/>
        <v>0</v>
      </c>
    </row>
    <row r="157" spans="2:18" ht="31.2" x14ac:dyDescent="0.3">
      <c r="B157" s="182"/>
      <c r="C157" s="164" t="s">
        <v>122</v>
      </c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>
        <f t="shared" si="25"/>
        <v>0</v>
      </c>
      <c r="Q157" s="164">
        <f t="shared" si="25"/>
        <v>0</v>
      </c>
      <c r="R157" s="164">
        <f t="shared" si="26"/>
        <v>0</v>
      </c>
    </row>
    <row r="158" spans="2:18" ht="31.2" x14ac:dyDescent="0.3">
      <c r="B158" s="183"/>
      <c r="C158" s="164" t="s">
        <v>123</v>
      </c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>
        <f t="shared" si="25"/>
        <v>0</v>
      </c>
      <c r="Q158" s="164">
        <f t="shared" si="25"/>
        <v>0</v>
      </c>
      <c r="R158" s="164">
        <f t="shared" si="26"/>
        <v>0</v>
      </c>
    </row>
    <row r="159" spans="2:18" ht="15.6" x14ac:dyDescent="0.3">
      <c r="B159" s="181" t="s">
        <v>128</v>
      </c>
      <c r="C159" s="164" t="s">
        <v>119</v>
      </c>
      <c r="D159" s="164">
        <f>C110+C111</f>
        <v>67</v>
      </c>
      <c r="E159" s="164">
        <f t="shared" ref="E159:G159" si="35">D110+D111</f>
        <v>71</v>
      </c>
      <c r="F159" s="164">
        <f t="shared" si="35"/>
        <v>80</v>
      </c>
      <c r="G159" s="164">
        <f t="shared" si="35"/>
        <v>91</v>
      </c>
      <c r="H159" s="164"/>
      <c r="I159" s="164"/>
      <c r="J159" s="164"/>
      <c r="K159" s="164"/>
      <c r="L159" s="164"/>
      <c r="M159" s="164"/>
      <c r="N159" s="164"/>
      <c r="O159" s="164"/>
      <c r="P159" s="164">
        <f t="shared" si="25"/>
        <v>147</v>
      </c>
      <c r="Q159" s="164">
        <f t="shared" si="25"/>
        <v>162</v>
      </c>
      <c r="R159" s="164">
        <f t="shared" si="26"/>
        <v>309</v>
      </c>
    </row>
    <row r="160" spans="2:18" ht="15.6" x14ac:dyDescent="0.3">
      <c r="B160" s="182"/>
      <c r="C160" s="164" t="s">
        <v>120</v>
      </c>
      <c r="D160" s="164"/>
      <c r="E160" s="164"/>
      <c r="F160" s="164"/>
      <c r="G160" s="164"/>
      <c r="H160" s="164">
        <f>G111+G110</f>
        <v>116</v>
      </c>
      <c r="I160" s="164">
        <f t="shared" ref="I160:O160" si="36">H111+H110</f>
        <v>64</v>
      </c>
      <c r="J160" s="164">
        <f t="shared" si="36"/>
        <v>96</v>
      </c>
      <c r="K160" s="164">
        <f t="shared" si="36"/>
        <v>51</v>
      </c>
      <c r="L160" s="164">
        <f t="shared" si="36"/>
        <v>80</v>
      </c>
      <c r="M160" s="164">
        <f t="shared" si="36"/>
        <v>55</v>
      </c>
      <c r="N160" s="164">
        <f t="shared" si="36"/>
        <v>90</v>
      </c>
      <c r="O160" s="164">
        <f t="shared" si="36"/>
        <v>45</v>
      </c>
      <c r="P160" s="164">
        <f>N160+L160+J160+H160+F160+D160</f>
        <v>382</v>
      </c>
      <c r="Q160" s="164">
        <f t="shared" si="25"/>
        <v>215</v>
      </c>
      <c r="R160" s="164">
        <f t="shared" si="26"/>
        <v>597</v>
      </c>
    </row>
    <row r="161" spans="1:104" ht="15.6" x14ac:dyDescent="0.3">
      <c r="B161" s="182"/>
      <c r="C161" s="164" t="s">
        <v>121</v>
      </c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>
        <f t="shared" si="25"/>
        <v>0</v>
      </c>
      <c r="Q161" s="164">
        <f t="shared" si="25"/>
        <v>0</v>
      </c>
      <c r="R161" s="164">
        <f t="shared" si="26"/>
        <v>0</v>
      </c>
    </row>
    <row r="162" spans="1:104" ht="31.2" x14ac:dyDescent="0.3">
      <c r="B162" s="182"/>
      <c r="C162" s="164" t="s">
        <v>122</v>
      </c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>
        <f t="shared" si="25"/>
        <v>0</v>
      </c>
      <c r="Q162" s="164">
        <f t="shared" si="25"/>
        <v>0</v>
      </c>
      <c r="R162" s="164">
        <f t="shared" si="26"/>
        <v>0</v>
      </c>
    </row>
    <row r="163" spans="1:104" ht="31.2" x14ac:dyDescent="0.3">
      <c r="B163" s="183"/>
      <c r="C163" s="164" t="s">
        <v>123</v>
      </c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>
        <f t="shared" si="25"/>
        <v>0</v>
      </c>
      <c r="Q163" s="164">
        <f t="shared" si="25"/>
        <v>0</v>
      </c>
      <c r="R163" s="164">
        <f t="shared" si="26"/>
        <v>0</v>
      </c>
    </row>
    <row r="164" spans="1:104" ht="15.6" x14ac:dyDescent="0.3">
      <c r="B164" s="181" t="s">
        <v>10</v>
      </c>
      <c r="C164" s="164" t="s">
        <v>119</v>
      </c>
      <c r="D164" s="164">
        <f>D159+D154+D149+D144+D139+D134+D129+D124+D119</f>
        <v>2170</v>
      </c>
      <c r="E164" s="164">
        <f t="shared" ref="E164:R164" si="37">E159+E154+E149+E144+E139+E134+E129+E124+E119</f>
        <v>1636</v>
      </c>
      <c r="F164" s="164">
        <f t="shared" si="37"/>
        <v>1979</v>
      </c>
      <c r="G164" s="164">
        <f t="shared" si="37"/>
        <v>1388</v>
      </c>
      <c r="H164" s="164">
        <f t="shared" si="37"/>
        <v>0</v>
      </c>
      <c r="I164" s="164">
        <f t="shared" si="37"/>
        <v>0</v>
      </c>
      <c r="J164" s="164">
        <f t="shared" si="37"/>
        <v>0</v>
      </c>
      <c r="K164" s="164">
        <f t="shared" si="37"/>
        <v>0</v>
      </c>
      <c r="L164" s="164">
        <f t="shared" si="37"/>
        <v>0</v>
      </c>
      <c r="M164" s="164">
        <f t="shared" si="37"/>
        <v>0</v>
      </c>
      <c r="N164" s="164">
        <f t="shared" si="37"/>
        <v>0</v>
      </c>
      <c r="O164" s="164">
        <f t="shared" si="37"/>
        <v>0</v>
      </c>
      <c r="P164" s="164">
        <f>P159+P154+P149+P144+P139+P134+P129+P124+P119</f>
        <v>4149</v>
      </c>
      <c r="Q164" s="164">
        <f t="shared" si="37"/>
        <v>3024</v>
      </c>
      <c r="R164" s="164">
        <f t="shared" si="37"/>
        <v>7173</v>
      </c>
    </row>
    <row r="165" spans="1:104" ht="15.6" x14ac:dyDescent="0.3">
      <c r="B165" s="182"/>
      <c r="C165" s="164" t="s">
        <v>120</v>
      </c>
      <c r="D165" s="164">
        <f t="shared" ref="D165:R168" si="38">D160+D155+D150+D145+D140+D135+D130+D125+D120</f>
        <v>0</v>
      </c>
      <c r="E165" s="164">
        <f t="shared" si="38"/>
        <v>0</v>
      </c>
      <c r="F165" s="164">
        <f t="shared" si="38"/>
        <v>0</v>
      </c>
      <c r="G165" s="164">
        <f t="shared" si="38"/>
        <v>0</v>
      </c>
      <c r="H165" s="164">
        <f t="shared" si="38"/>
        <v>1128</v>
      </c>
      <c r="I165" s="164">
        <f t="shared" si="38"/>
        <v>877</v>
      </c>
      <c r="J165" s="164">
        <f t="shared" si="38"/>
        <v>919</v>
      </c>
      <c r="K165" s="164">
        <f t="shared" si="38"/>
        <v>697</v>
      </c>
      <c r="L165" s="164">
        <f t="shared" si="38"/>
        <v>740</v>
      </c>
      <c r="M165" s="164">
        <f t="shared" si="38"/>
        <v>586</v>
      </c>
      <c r="N165" s="164">
        <f t="shared" si="38"/>
        <v>823</v>
      </c>
      <c r="O165" s="164">
        <f t="shared" si="38"/>
        <v>497</v>
      </c>
      <c r="P165" s="164">
        <f>P160+P155+P150+P145+P140+P135+P130+P125+P120</f>
        <v>3610</v>
      </c>
      <c r="Q165" s="164">
        <f t="shared" si="38"/>
        <v>2657</v>
      </c>
      <c r="R165" s="164">
        <f t="shared" si="38"/>
        <v>6267</v>
      </c>
    </row>
    <row r="166" spans="1:104" ht="15.6" x14ac:dyDescent="0.3">
      <c r="B166" s="182"/>
      <c r="C166" s="164" t="s">
        <v>121</v>
      </c>
      <c r="D166" s="164">
        <f t="shared" si="38"/>
        <v>0</v>
      </c>
      <c r="E166" s="164">
        <f t="shared" si="38"/>
        <v>0</v>
      </c>
      <c r="F166" s="164">
        <f t="shared" si="38"/>
        <v>0</v>
      </c>
      <c r="G166" s="164">
        <f t="shared" si="38"/>
        <v>0</v>
      </c>
      <c r="H166" s="164">
        <f t="shared" si="38"/>
        <v>237</v>
      </c>
      <c r="I166" s="164">
        <f t="shared" si="38"/>
        <v>145</v>
      </c>
      <c r="J166" s="164">
        <f t="shared" si="38"/>
        <v>191</v>
      </c>
      <c r="K166" s="164">
        <f t="shared" si="38"/>
        <v>65</v>
      </c>
      <c r="L166" s="164">
        <f t="shared" si="38"/>
        <v>180</v>
      </c>
      <c r="M166" s="164">
        <f t="shared" si="38"/>
        <v>49</v>
      </c>
      <c r="N166" s="164">
        <f t="shared" si="38"/>
        <v>116</v>
      </c>
      <c r="O166" s="164">
        <f t="shared" si="38"/>
        <v>35</v>
      </c>
      <c r="P166" s="164">
        <f t="shared" si="38"/>
        <v>724</v>
      </c>
      <c r="Q166" s="164">
        <f t="shared" si="38"/>
        <v>294</v>
      </c>
      <c r="R166" s="164">
        <f t="shared" si="38"/>
        <v>1018</v>
      </c>
    </row>
    <row r="167" spans="1:104" ht="31.2" x14ac:dyDescent="0.3">
      <c r="B167" s="182"/>
      <c r="C167" s="164" t="s">
        <v>122</v>
      </c>
      <c r="D167" s="164">
        <f t="shared" si="38"/>
        <v>0</v>
      </c>
      <c r="E167" s="164">
        <f t="shared" si="38"/>
        <v>0</v>
      </c>
      <c r="F167" s="164">
        <f t="shared" si="38"/>
        <v>0</v>
      </c>
      <c r="G167" s="164">
        <f t="shared" si="38"/>
        <v>0</v>
      </c>
      <c r="H167" s="164">
        <f t="shared" si="38"/>
        <v>0</v>
      </c>
      <c r="I167" s="164">
        <f t="shared" si="38"/>
        <v>0</v>
      </c>
      <c r="J167" s="164">
        <f t="shared" si="38"/>
        <v>0</v>
      </c>
      <c r="K167" s="164">
        <f t="shared" si="38"/>
        <v>0</v>
      </c>
      <c r="L167" s="164">
        <f t="shared" si="38"/>
        <v>0</v>
      </c>
      <c r="M167" s="164">
        <f t="shared" si="38"/>
        <v>0</v>
      </c>
      <c r="N167" s="164">
        <f t="shared" si="38"/>
        <v>0</v>
      </c>
      <c r="O167" s="164">
        <f t="shared" si="38"/>
        <v>0</v>
      </c>
      <c r="P167" s="164">
        <f t="shared" si="38"/>
        <v>0</v>
      </c>
      <c r="Q167" s="164">
        <f t="shared" si="38"/>
        <v>0</v>
      </c>
      <c r="R167" s="164">
        <f t="shared" si="38"/>
        <v>0</v>
      </c>
    </row>
    <row r="168" spans="1:104" ht="31.2" x14ac:dyDescent="0.3">
      <c r="A168" s="1"/>
      <c r="B168" s="183"/>
      <c r="C168" s="164" t="s">
        <v>123</v>
      </c>
      <c r="D168" s="164">
        <f t="shared" si="38"/>
        <v>0</v>
      </c>
      <c r="E168" s="164">
        <f t="shared" si="38"/>
        <v>0</v>
      </c>
      <c r="F168" s="164">
        <f t="shared" si="38"/>
        <v>0</v>
      </c>
      <c r="G168" s="164">
        <f t="shared" si="38"/>
        <v>0</v>
      </c>
      <c r="H168" s="164">
        <f t="shared" si="38"/>
        <v>0</v>
      </c>
      <c r="I168" s="164">
        <f t="shared" si="38"/>
        <v>0</v>
      </c>
      <c r="J168" s="164">
        <f t="shared" si="38"/>
        <v>0</v>
      </c>
      <c r="K168" s="164">
        <f t="shared" si="38"/>
        <v>0</v>
      </c>
      <c r="L168" s="164">
        <f t="shared" si="38"/>
        <v>0</v>
      </c>
      <c r="M168" s="164">
        <f t="shared" si="38"/>
        <v>0</v>
      </c>
      <c r="N168" s="164">
        <f t="shared" si="38"/>
        <v>0</v>
      </c>
      <c r="O168" s="164">
        <f t="shared" si="38"/>
        <v>0</v>
      </c>
      <c r="P168" s="164">
        <f t="shared" si="38"/>
        <v>0</v>
      </c>
      <c r="Q168" s="164">
        <f t="shared" si="38"/>
        <v>0</v>
      </c>
      <c r="R168" s="164">
        <f t="shared" si="38"/>
        <v>0</v>
      </c>
    </row>
    <row r="169" spans="1:104" ht="15.6" x14ac:dyDescent="0.3">
      <c r="A169" s="1"/>
      <c r="CY169" s="29"/>
      <c r="CZ169" s="29"/>
    </row>
    <row r="170" spans="1:104" ht="18" x14ac:dyDescent="0.3">
      <c r="A170" s="96" t="s">
        <v>38</v>
      </c>
      <c r="CY170" s="29"/>
      <c r="CZ170" s="29"/>
    </row>
    <row r="171" spans="1:104" ht="15.6" x14ac:dyDescent="0.3">
      <c r="A171" s="1"/>
      <c r="CY171" s="29"/>
      <c r="CZ171" s="29"/>
    </row>
    <row r="172" spans="1:104" ht="62.4" x14ac:dyDescent="0.3">
      <c r="A172" s="80" t="s">
        <v>6</v>
      </c>
      <c r="B172" s="80" t="s">
        <v>18</v>
      </c>
      <c r="C172" s="262" t="s">
        <v>55</v>
      </c>
      <c r="D172" s="262"/>
      <c r="E172" s="262" t="s">
        <v>56</v>
      </c>
      <c r="F172" s="262"/>
      <c r="G172" s="262" t="s">
        <v>57</v>
      </c>
      <c r="H172" s="262"/>
      <c r="I172" s="262" t="s">
        <v>58</v>
      </c>
      <c r="J172" s="262"/>
      <c r="K172" s="262" t="s">
        <v>59</v>
      </c>
      <c r="L172" s="262"/>
      <c r="M172" s="262" t="s">
        <v>60</v>
      </c>
      <c r="N172" s="262"/>
      <c r="O172" s="262" t="s">
        <v>61</v>
      </c>
      <c r="P172" s="262"/>
      <c r="Q172" s="268" t="s">
        <v>10</v>
      </c>
      <c r="R172" s="269"/>
      <c r="S172" s="270"/>
      <c r="T172" s="175"/>
      <c r="U172" s="172"/>
      <c r="CY172" s="29"/>
      <c r="CZ172" s="29"/>
    </row>
    <row r="173" spans="1:104" ht="15.6" x14ac:dyDescent="0.3">
      <c r="A173" s="154"/>
      <c r="B173" s="154"/>
      <c r="C173" s="154" t="s">
        <v>43</v>
      </c>
      <c r="D173" s="154" t="s">
        <v>30</v>
      </c>
      <c r="E173" s="154" t="s">
        <v>43</v>
      </c>
      <c r="F173" s="154" t="s">
        <v>30</v>
      </c>
      <c r="G173" s="154" t="s">
        <v>43</v>
      </c>
      <c r="H173" s="154" t="s">
        <v>30</v>
      </c>
      <c r="I173" s="154" t="s">
        <v>43</v>
      </c>
      <c r="J173" s="154" t="s">
        <v>30</v>
      </c>
      <c r="K173" s="154" t="s">
        <v>43</v>
      </c>
      <c r="L173" s="154" t="s">
        <v>30</v>
      </c>
      <c r="M173" s="154" t="s">
        <v>43</v>
      </c>
      <c r="N173" s="154" t="s">
        <v>30</v>
      </c>
      <c r="O173" s="154" t="s">
        <v>43</v>
      </c>
      <c r="P173" s="154" t="s">
        <v>30</v>
      </c>
      <c r="Q173" s="154" t="s">
        <v>43</v>
      </c>
      <c r="R173" s="154" t="s">
        <v>30</v>
      </c>
      <c r="S173" s="171" t="s">
        <v>134</v>
      </c>
      <c r="T173" s="176"/>
      <c r="U173" s="173"/>
      <c r="CY173" s="81"/>
      <c r="CZ173" s="81"/>
    </row>
    <row r="174" spans="1:104" ht="15.6" x14ac:dyDescent="0.3">
      <c r="A174" s="25">
        <v>1</v>
      </c>
      <c r="B174" s="156" t="s">
        <v>44</v>
      </c>
      <c r="C174" s="25">
        <v>10</v>
      </c>
      <c r="D174" s="25">
        <v>0</v>
      </c>
      <c r="E174" s="25">
        <v>0</v>
      </c>
      <c r="F174" s="25">
        <v>0</v>
      </c>
      <c r="G174" s="25">
        <v>0</v>
      </c>
      <c r="H174" s="25">
        <v>0</v>
      </c>
      <c r="I174" s="25">
        <v>5</v>
      </c>
      <c r="J174" s="25">
        <v>0</v>
      </c>
      <c r="K174" s="25">
        <v>0</v>
      </c>
      <c r="L174" s="25">
        <v>0</v>
      </c>
      <c r="M174" s="25">
        <v>0</v>
      </c>
      <c r="N174" s="25">
        <v>0</v>
      </c>
      <c r="O174" s="25">
        <v>89</v>
      </c>
      <c r="P174" s="25">
        <v>4</v>
      </c>
      <c r="Q174" s="18">
        <f>O174+M174+K174+I174+G174+E174+C174</f>
        <v>104</v>
      </c>
      <c r="R174" s="18">
        <f>P174+N174+L174+J174+H174+F174+D174</f>
        <v>4</v>
      </c>
      <c r="S174" s="18">
        <f>SUM(Q174:R174)</f>
        <v>108</v>
      </c>
      <c r="T174" s="176"/>
      <c r="U174" s="173"/>
    </row>
    <row r="175" spans="1:104" ht="15.6" x14ac:dyDescent="0.3">
      <c r="A175" s="25">
        <v>2</v>
      </c>
      <c r="B175" s="156" t="s">
        <v>45</v>
      </c>
      <c r="C175" s="25">
        <v>30</v>
      </c>
      <c r="D175" s="25">
        <v>3</v>
      </c>
      <c r="E175" s="25">
        <v>3</v>
      </c>
      <c r="F175" s="25">
        <v>2</v>
      </c>
      <c r="G175" s="25">
        <v>0</v>
      </c>
      <c r="H175" s="25">
        <v>0</v>
      </c>
      <c r="I175" s="25">
        <v>7</v>
      </c>
      <c r="J175" s="25">
        <v>0</v>
      </c>
      <c r="K175" s="25">
        <v>0</v>
      </c>
      <c r="L175" s="25">
        <v>0</v>
      </c>
      <c r="M175" s="25">
        <v>0</v>
      </c>
      <c r="N175" s="25">
        <v>0</v>
      </c>
      <c r="O175" s="25">
        <v>155</v>
      </c>
      <c r="P175" s="25">
        <v>10</v>
      </c>
      <c r="Q175" s="18">
        <f t="shared" ref="Q175:R180" si="39">O175+M175+K175+I175+G175+E175+C175</f>
        <v>195</v>
      </c>
      <c r="R175" s="18">
        <f t="shared" si="39"/>
        <v>15</v>
      </c>
      <c r="S175" s="18">
        <f t="shared" ref="S175:S180" si="40">SUM(Q175:R175)</f>
        <v>210</v>
      </c>
      <c r="T175" s="176"/>
      <c r="U175" s="173"/>
    </row>
    <row r="176" spans="1:104" ht="15.6" x14ac:dyDescent="0.3">
      <c r="A176" s="25">
        <v>3</v>
      </c>
      <c r="B176" s="156" t="s">
        <v>46</v>
      </c>
      <c r="C176" s="25">
        <v>35</v>
      </c>
      <c r="D176" s="25">
        <v>1</v>
      </c>
      <c r="E176" s="25">
        <v>2</v>
      </c>
      <c r="F176" s="25">
        <v>0</v>
      </c>
      <c r="G176" s="25">
        <v>0</v>
      </c>
      <c r="H176" s="25">
        <v>0</v>
      </c>
      <c r="I176" s="25">
        <v>3</v>
      </c>
      <c r="J176" s="25">
        <v>1</v>
      </c>
      <c r="K176" s="25">
        <v>0</v>
      </c>
      <c r="L176" s="25">
        <v>0</v>
      </c>
      <c r="M176" s="25">
        <v>0</v>
      </c>
      <c r="N176" s="25">
        <v>0</v>
      </c>
      <c r="O176" s="25">
        <v>347</v>
      </c>
      <c r="P176" s="25">
        <v>11</v>
      </c>
      <c r="Q176" s="18">
        <f t="shared" si="39"/>
        <v>387</v>
      </c>
      <c r="R176" s="18">
        <f t="shared" si="39"/>
        <v>13</v>
      </c>
      <c r="S176" s="18">
        <f t="shared" si="40"/>
        <v>400</v>
      </c>
      <c r="T176" s="176"/>
      <c r="U176" s="173"/>
    </row>
    <row r="177" spans="1:21" ht="15.6" x14ac:dyDescent="0.3">
      <c r="A177" s="25">
        <v>4</v>
      </c>
      <c r="B177" s="156" t="s">
        <v>47</v>
      </c>
      <c r="C177" s="25">
        <v>3</v>
      </c>
      <c r="D177" s="25">
        <v>0</v>
      </c>
      <c r="E177" s="25">
        <v>0</v>
      </c>
      <c r="F177" s="25">
        <v>0</v>
      </c>
      <c r="G177" s="25">
        <v>0</v>
      </c>
      <c r="H177" s="25">
        <v>0</v>
      </c>
      <c r="I177" s="25">
        <v>1</v>
      </c>
      <c r="J177" s="25">
        <v>0</v>
      </c>
      <c r="K177" s="25">
        <v>0</v>
      </c>
      <c r="L177" s="25">
        <v>0</v>
      </c>
      <c r="M177" s="25">
        <v>0</v>
      </c>
      <c r="N177" s="25">
        <v>0</v>
      </c>
      <c r="O177" s="25">
        <v>30</v>
      </c>
      <c r="P177" s="25">
        <v>2</v>
      </c>
      <c r="Q177" s="18">
        <f t="shared" si="39"/>
        <v>34</v>
      </c>
      <c r="R177" s="18">
        <f t="shared" si="39"/>
        <v>2</v>
      </c>
      <c r="S177" s="18">
        <f t="shared" si="40"/>
        <v>36</v>
      </c>
      <c r="T177" s="176"/>
      <c r="U177" s="173"/>
    </row>
    <row r="178" spans="1:21" ht="15.6" x14ac:dyDescent="0.3">
      <c r="A178" s="25">
        <v>5</v>
      </c>
      <c r="B178" s="156" t="s">
        <v>48</v>
      </c>
      <c r="C178" s="25">
        <v>0</v>
      </c>
      <c r="D178" s="25">
        <v>0</v>
      </c>
      <c r="E178" s="25">
        <v>0</v>
      </c>
      <c r="F178" s="25">
        <v>0</v>
      </c>
      <c r="G178" s="25">
        <v>0</v>
      </c>
      <c r="H178" s="25">
        <v>0</v>
      </c>
      <c r="I178" s="25">
        <v>0</v>
      </c>
      <c r="J178" s="25">
        <v>0</v>
      </c>
      <c r="K178" s="25">
        <v>0</v>
      </c>
      <c r="L178" s="25">
        <v>0</v>
      </c>
      <c r="M178" s="25">
        <v>0</v>
      </c>
      <c r="N178" s="25">
        <v>0</v>
      </c>
      <c r="O178" s="25">
        <v>0</v>
      </c>
      <c r="P178" s="25">
        <v>0</v>
      </c>
      <c r="Q178" s="18">
        <f t="shared" si="39"/>
        <v>0</v>
      </c>
      <c r="R178" s="18">
        <f t="shared" si="39"/>
        <v>0</v>
      </c>
      <c r="S178" s="18">
        <f t="shared" si="40"/>
        <v>0</v>
      </c>
      <c r="T178" s="176"/>
      <c r="U178" s="173"/>
    </row>
    <row r="179" spans="1:21" ht="15.6" x14ac:dyDescent="0.3">
      <c r="A179" s="25">
        <v>6</v>
      </c>
      <c r="B179" s="156" t="s">
        <v>49</v>
      </c>
      <c r="C179" s="25">
        <v>6</v>
      </c>
      <c r="D179" s="25">
        <v>0</v>
      </c>
      <c r="E179" s="25">
        <v>4</v>
      </c>
      <c r="F179" s="25">
        <v>0</v>
      </c>
      <c r="G179" s="25">
        <v>0</v>
      </c>
      <c r="H179" s="25">
        <v>0</v>
      </c>
      <c r="I179" s="25">
        <v>2</v>
      </c>
      <c r="J179" s="25">
        <v>0</v>
      </c>
      <c r="K179" s="25">
        <v>2</v>
      </c>
      <c r="L179" s="25">
        <v>0</v>
      </c>
      <c r="M179" s="25">
        <v>0</v>
      </c>
      <c r="N179" s="25">
        <v>0</v>
      </c>
      <c r="O179" s="25">
        <v>29</v>
      </c>
      <c r="P179" s="25">
        <v>0</v>
      </c>
      <c r="Q179" s="18">
        <f t="shared" si="39"/>
        <v>43</v>
      </c>
      <c r="R179" s="18">
        <f t="shared" si="39"/>
        <v>0</v>
      </c>
      <c r="S179" s="18">
        <f t="shared" si="40"/>
        <v>43</v>
      </c>
      <c r="T179" s="176"/>
      <c r="U179" s="173"/>
    </row>
    <row r="180" spans="1:21" ht="15.6" x14ac:dyDescent="0.3">
      <c r="A180" s="25">
        <v>7</v>
      </c>
      <c r="B180" s="156" t="s">
        <v>50</v>
      </c>
      <c r="C180" s="25">
        <v>3</v>
      </c>
      <c r="D180" s="25">
        <v>0</v>
      </c>
      <c r="E180" s="25">
        <v>1</v>
      </c>
      <c r="F180" s="25">
        <v>0</v>
      </c>
      <c r="G180" s="25">
        <v>0</v>
      </c>
      <c r="H180" s="25">
        <v>0</v>
      </c>
      <c r="I180" s="25">
        <v>2</v>
      </c>
      <c r="J180" s="25">
        <v>0</v>
      </c>
      <c r="K180" s="25">
        <v>0</v>
      </c>
      <c r="L180" s="25">
        <v>0</v>
      </c>
      <c r="M180" s="25">
        <v>0</v>
      </c>
      <c r="N180" s="25">
        <v>0</v>
      </c>
      <c r="O180" s="25">
        <v>24</v>
      </c>
      <c r="P180" s="25">
        <v>3</v>
      </c>
      <c r="Q180" s="18">
        <f t="shared" si="39"/>
        <v>30</v>
      </c>
      <c r="R180" s="18">
        <f t="shared" si="39"/>
        <v>3</v>
      </c>
      <c r="S180" s="18">
        <f t="shared" si="40"/>
        <v>33</v>
      </c>
      <c r="T180" s="176"/>
      <c r="U180" s="173"/>
    </row>
    <row r="181" spans="1:21" ht="15.6" x14ac:dyDescent="0.3">
      <c r="A181" s="258" t="s">
        <v>10</v>
      </c>
      <c r="B181" s="258"/>
      <c r="C181" s="93">
        <f>SUM(C174:C180)</f>
        <v>87</v>
      </c>
      <c r="D181" s="93">
        <f t="shared" ref="D181:P181" si="41">SUM(D174:D180)</f>
        <v>4</v>
      </c>
      <c r="E181" s="93">
        <f t="shared" si="41"/>
        <v>10</v>
      </c>
      <c r="F181" s="93">
        <f t="shared" si="41"/>
        <v>2</v>
      </c>
      <c r="G181" s="93">
        <f t="shared" si="41"/>
        <v>0</v>
      </c>
      <c r="H181" s="93">
        <f t="shared" si="41"/>
        <v>0</v>
      </c>
      <c r="I181" s="93">
        <f t="shared" si="41"/>
        <v>20</v>
      </c>
      <c r="J181" s="93">
        <f t="shared" si="41"/>
        <v>1</v>
      </c>
      <c r="K181" s="93">
        <f t="shared" si="41"/>
        <v>2</v>
      </c>
      <c r="L181" s="93">
        <f t="shared" si="41"/>
        <v>0</v>
      </c>
      <c r="M181" s="93">
        <f t="shared" si="41"/>
        <v>0</v>
      </c>
      <c r="N181" s="93">
        <f t="shared" si="41"/>
        <v>0</v>
      </c>
      <c r="O181" s="93">
        <f t="shared" si="41"/>
        <v>674</v>
      </c>
      <c r="P181" s="93">
        <f t="shared" si="41"/>
        <v>30</v>
      </c>
      <c r="Q181" s="126">
        <f>SUM(Q174:Q180)</f>
        <v>793</v>
      </c>
      <c r="R181" s="126">
        <f t="shared" ref="R181" si="42">SUM(R174:R180)</f>
        <v>37</v>
      </c>
      <c r="S181" s="126">
        <f>SUM(S174:S180)</f>
        <v>830</v>
      </c>
      <c r="T181" s="177"/>
      <c r="U181" s="174"/>
    </row>
  </sheetData>
  <mergeCells count="69">
    <mergeCell ref="Q172:S172"/>
    <mergeCell ref="A15:B15"/>
    <mergeCell ref="A27:B27"/>
    <mergeCell ref="C30:D30"/>
    <mergeCell ref="E30:F30"/>
    <mergeCell ref="G30:H30"/>
    <mergeCell ref="I30:K30"/>
    <mergeCell ref="A39:B39"/>
    <mergeCell ref="C42:D42"/>
    <mergeCell ref="E42:F42"/>
    <mergeCell ref="G42:H42"/>
    <mergeCell ref="I42:J42"/>
    <mergeCell ref="K42:L42"/>
    <mergeCell ref="M42:O42"/>
    <mergeCell ref="A51:B51"/>
    <mergeCell ref="A63:B63"/>
    <mergeCell ref="A65:S65"/>
    <mergeCell ref="C66:D66"/>
    <mergeCell ref="E66:F66"/>
    <mergeCell ref="G66:H66"/>
    <mergeCell ref="I66:J66"/>
    <mergeCell ref="K66:L66"/>
    <mergeCell ref="M66:N66"/>
    <mergeCell ref="O66:Q66"/>
    <mergeCell ref="A75:B75"/>
    <mergeCell ref="C78:D78"/>
    <mergeCell ref="E78:F78"/>
    <mergeCell ref="G78:H78"/>
    <mergeCell ref="I78:J78"/>
    <mergeCell ref="K78:M78"/>
    <mergeCell ref="A87:B87"/>
    <mergeCell ref="A100:B100"/>
    <mergeCell ref="C104:D104"/>
    <mergeCell ref="E104:F104"/>
    <mergeCell ref="G104:H104"/>
    <mergeCell ref="A181:B181"/>
    <mergeCell ref="K104:L104"/>
    <mergeCell ref="M104:N104"/>
    <mergeCell ref="O104:Q104"/>
    <mergeCell ref="A113:B113"/>
    <mergeCell ref="C172:D172"/>
    <mergeCell ref="E172:F172"/>
    <mergeCell ref="G172:H172"/>
    <mergeCell ref="I172:J172"/>
    <mergeCell ref="K172:L172"/>
    <mergeCell ref="M172:N172"/>
    <mergeCell ref="I104:J104"/>
    <mergeCell ref="O172:P172"/>
    <mergeCell ref="B114:R114"/>
    <mergeCell ref="B115:B118"/>
    <mergeCell ref="C115:C118"/>
    <mergeCell ref="D115:R115"/>
    <mergeCell ref="D116:E117"/>
    <mergeCell ref="F116:G117"/>
    <mergeCell ref="H116:I117"/>
    <mergeCell ref="J116:K117"/>
    <mergeCell ref="L116:M117"/>
    <mergeCell ref="N116:O117"/>
    <mergeCell ref="P116:R117"/>
    <mergeCell ref="B119:B123"/>
    <mergeCell ref="B124:B128"/>
    <mergeCell ref="B129:B133"/>
    <mergeCell ref="B134:B138"/>
    <mergeCell ref="B139:B143"/>
    <mergeCell ref="B144:B148"/>
    <mergeCell ref="B149:B153"/>
    <mergeCell ref="B154:B158"/>
    <mergeCell ref="B159:B163"/>
    <mergeCell ref="B164:B16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5C3B6-781C-4B00-A307-B216A1E7B35F}">
  <sheetPr>
    <pageSetUpPr fitToPage="1"/>
  </sheetPr>
  <dimension ref="A1:S182"/>
  <sheetViews>
    <sheetView zoomScale="80" zoomScaleNormal="80" workbookViewId="0">
      <selection activeCell="I10" sqref="I10:I12"/>
    </sheetView>
  </sheetViews>
  <sheetFormatPr baseColWidth="10" defaultRowHeight="14.4" x14ac:dyDescent="0.3"/>
  <cols>
    <col min="1" max="1" width="6.44140625" customWidth="1"/>
    <col min="2" max="2" width="16.21875" customWidth="1"/>
    <col min="3" max="3" width="20.21875" customWidth="1"/>
    <col min="5" max="5" width="16.88671875" customWidth="1"/>
  </cols>
  <sheetData>
    <row r="1" spans="1:8" ht="18" x14ac:dyDescent="0.35">
      <c r="A1" s="96" t="s">
        <v>0</v>
      </c>
      <c r="B1" s="180"/>
      <c r="C1" s="180"/>
      <c r="D1" s="180"/>
      <c r="E1" s="180"/>
      <c r="F1" s="107"/>
      <c r="G1" s="107"/>
      <c r="H1" s="107"/>
    </row>
    <row r="2" spans="1:8" ht="18" x14ac:dyDescent="0.35">
      <c r="A2" s="96" t="s">
        <v>1</v>
      </c>
      <c r="B2" s="180"/>
      <c r="C2" s="180"/>
      <c r="D2" s="180"/>
      <c r="E2" s="180"/>
      <c r="F2" s="107"/>
      <c r="G2" s="107"/>
      <c r="H2" s="107"/>
    </row>
    <row r="3" spans="1:8" ht="18" x14ac:dyDescent="0.35">
      <c r="A3" s="96" t="s">
        <v>2</v>
      </c>
      <c r="B3" s="180"/>
      <c r="C3" s="180"/>
      <c r="D3" s="180" t="s">
        <v>88</v>
      </c>
      <c r="E3" s="180"/>
      <c r="F3" s="107"/>
      <c r="G3" s="107"/>
      <c r="H3" s="107"/>
    </row>
    <row r="4" spans="1:8" ht="18" x14ac:dyDescent="0.35">
      <c r="A4" s="96" t="s">
        <v>3</v>
      </c>
      <c r="B4" s="180"/>
      <c r="C4" s="180"/>
      <c r="D4" s="180" t="s">
        <v>76</v>
      </c>
      <c r="E4" s="180"/>
      <c r="F4" s="107"/>
      <c r="G4" s="107"/>
      <c r="H4" s="107"/>
    </row>
    <row r="5" spans="1:8" ht="18" x14ac:dyDescent="0.35">
      <c r="A5" s="96" t="s">
        <v>4</v>
      </c>
      <c r="B5" s="180"/>
      <c r="C5" s="180"/>
      <c r="D5" s="180" t="s">
        <v>89</v>
      </c>
      <c r="E5" s="180"/>
      <c r="F5" s="107"/>
      <c r="G5" s="107"/>
      <c r="H5" s="107"/>
    </row>
    <row r="6" spans="1:8" ht="18.600000000000001" thickBot="1" x14ac:dyDescent="0.4">
      <c r="A6" s="96" t="s">
        <v>5</v>
      </c>
      <c r="B6" s="180"/>
      <c r="C6" s="180"/>
      <c r="D6" s="180"/>
      <c r="E6" s="180"/>
      <c r="F6" s="107"/>
      <c r="G6" s="107"/>
      <c r="H6" s="107"/>
    </row>
    <row r="7" spans="1:8" s="28" customFormat="1" ht="62.4" x14ac:dyDescent="0.3">
      <c r="A7" s="98" t="s">
        <v>6</v>
      </c>
      <c r="B7" s="153" t="s">
        <v>135</v>
      </c>
      <c r="C7" s="146" t="s">
        <v>7</v>
      </c>
      <c r="D7" s="146" t="s">
        <v>8</v>
      </c>
      <c r="E7" s="146" t="s">
        <v>9</v>
      </c>
      <c r="F7" s="146" t="s">
        <v>10</v>
      </c>
    </row>
    <row r="8" spans="1:8" ht="15" thickBot="1" x14ac:dyDescent="0.35">
      <c r="A8" s="5">
        <v>1</v>
      </c>
      <c r="B8" s="55" t="s">
        <v>44</v>
      </c>
      <c r="C8" s="19">
        <f>PWETO!C8+MITWABA!C8+KILWA!C8+KASENGA!C9</f>
        <v>3</v>
      </c>
      <c r="D8" s="19">
        <f>PWETO!D8+MITWABA!D8+KILWA!D8+KASENGA!D9</f>
        <v>77</v>
      </c>
      <c r="E8" s="19">
        <f>PWETO!E8+MITWABA!E8+KILWA!E8+KASENGA!E9</f>
        <v>59</v>
      </c>
      <c r="F8" s="19">
        <f>SUM(C8:E8)</f>
        <v>139</v>
      </c>
    </row>
    <row r="9" spans="1:8" ht="15" thickBot="1" x14ac:dyDescent="0.35">
      <c r="A9" s="5">
        <v>2</v>
      </c>
      <c r="B9" s="55" t="s">
        <v>45</v>
      </c>
      <c r="C9" s="19">
        <f>PWETO!C9+MITWABA!C9+KILWA!C9+KASENGA!C10</f>
        <v>7</v>
      </c>
      <c r="D9" s="19">
        <f>PWETO!D9+MITWABA!D9+KILWA!D9+KASENGA!D10</f>
        <v>248</v>
      </c>
      <c r="E9" s="19">
        <f>PWETO!E9+MITWABA!E9+KILWA!E9+KASENGA!E10</f>
        <v>102</v>
      </c>
      <c r="F9" s="19">
        <f t="shared" ref="F9:F14" si="0">SUM(C9:E9)</f>
        <v>357</v>
      </c>
    </row>
    <row r="10" spans="1:8" ht="15" thickBot="1" x14ac:dyDescent="0.35">
      <c r="A10" s="5">
        <v>3</v>
      </c>
      <c r="B10" s="55" t="s">
        <v>46</v>
      </c>
      <c r="C10" s="19">
        <f>PWETO!C10+MITWABA!C10+KILWA!C10+KASENGA!C11</f>
        <v>2</v>
      </c>
      <c r="D10" s="19">
        <f>PWETO!D10+MITWABA!D10+KILWA!D10+KASENGA!D11</f>
        <v>283</v>
      </c>
      <c r="E10" s="19">
        <f>PWETO!E10+MITWABA!E10+KILWA!E10+KASENGA!E11</f>
        <v>135</v>
      </c>
      <c r="F10" s="19">
        <f t="shared" si="0"/>
        <v>420</v>
      </c>
    </row>
    <row r="11" spans="1:8" ht="15" thickBot="1" x14ac:dyDescent="0.35">
      <c r="A11" s="5">
        <v>4</v>
      </c>
      <c r="B11" s="55" t="s">
        <v>47</v>
      </c>
      <c r="C11" s="19">
        <f>PWETO!C11+MITWABA!C11+KILWA!C11+KASENGA!C12</f>
        <v>0</v>
      </c>
      <c r="D11" s="19">
        <f>PWETO!D11+MITWABA!D11+KILWA!D11+KASENGA!D12</f>
        <v>21</v>
      </c>
      <c r="E11" s="19">
        <f>PWETO!E11+MITWABA!E11+KILWA!E11+KASENGA!E12</f>
        <v>7</v>
      </c>
      <c r="F11" s="19">
        <f t="shared" si="0"/>
        <v>28</v>
      </c>
    </row>
    <row r="12" spans="1:8" ht="15" thickBot="1" x14ac:dyDescent="0.35">
      <c r="A12" s="5">
        <v>5</v>
      </c>
      <c r="B12" s="55" t="s">
        <v>48</v>
      </c>
      <c r="C12" s="19">
        <f>PWETO!C12+MITWABA!C12+KILWA!C12+KASENGA!C13</f>
        <v>0</v>
      </c>
      <c r="D12" s="19">
        <f>PWETO!D12+MITWABA!D12+KILWA!D12+KASENGA!D13</f>
        <v>0</v>
      </c>
      <c r="E12" s="19">
        <f>PWETO!E12+MITWABA!E12+KILWA!E12+KASENGA!E13</f>
        <v>1</v>
      </c>
      <c r="F12" s="19">
        <f t="shared" si="0"/>
        <v>1</v>
      </c>
    </row>
    <row r="13" spans="1:8" ht="15" thickBot="1" x14ac:dyDescent="0.35">
      <c r="A13" s="5">
        <v>6</v>
      </c>
      <c r="B13" s="55" t="s">
        <v>49</v>
      </c>
      <c r="C13" s="19">
        <f>PWETO!C13+MITWABA!C13+KILWA!C13+KASENGA!C14</f>
        <v>0</v>
      </c>
      <c r="D13" s="19">
        <f>PWETO!D13+MITWABA!D13+KILWA!D13+KASENGA!D14</f>
        <v>9</v>
      </c>
      <c r="E13" s="19">
        <f>PWETO!E13+MITWABA!E13+KILWA!E13+KASENGA!E14</f>
        <v>6</v>
      </c>
      <c r="F13" s="19">
        <f t="shared" si="0"/>
        <v>15</v>
      </c>
    </row>
    <row r="14" spans="1:8" ht="15" thickBot="1" x14ac:dyDescent="0.35">
      <c r="A14" s="5">
        <v>7</v>
      </c>
      <c r="B14" s="55" t="s">
        <v>50</v>
      </c>
      <c r="C14" s="19">
        <f>PWETO!C14+MITWABA!C14+KILWA!C14+KASENGA!C15</f>
        <v>1</v>
      </c>
      <c r="D14" s="19">
        <f>PWETO!D14+MITWABA!D14+KILWA!D14+KASENGA!D15</f>
        <v>10</v>
      </c>
      <c r="E14" s="19">
        <f>PWETO!E14+MITWABA!E14+KILWA!E14+KASENGA!E15</f>
        <v>6</v>
      </c>
      <c r="F14" s="19">
        <f t="shared" si="0"/>
        <v>17</v>
      </c>
    </row>
    <row r="15" spans="1:8" ht="15" thickBot="1" x14ac:dyDescent="0.35">
      <c r="A15" s="246" t="s">
        <v>10</v>
      </c>
      <c r="B15" s="247"/>
      <c r="C15" s="131">
        <f>SUM(C8:C14)</f>
        <v>13</v>
      </c>
      <c r="D15" s="131">
        <f>SUM(D8:D14)</f>
        <v>648</v>
      </c>
      <c r="E15" s="131">
        <f>SUM(E8:E14)</f>
        <v>316</v>
      </c>
      <c r="F15" s="131">
        <f>SUM(F8:F14)</f>
        <v>977</v>
      </c>
    </row>
    <row r="16" spans="1:8" x14ac:dyDescent="0.3">
      <c r="A16" s="1"/>
    </row>
    <row r="17" spans="1:11" ht="18" x14ac:dyDescent="0.35">
      <c r="A17" s="108" t="s">
        <v>11</v>
      </c>
      <c r="B17" s="107"/>
      <c r="C17" s="107"/>
      <c r="D17" s="107"/>
      <c r="E17" s="107"/>
      <c r="F17" s="107"/>
    </row>
    <row r="18" spans="1:11" ht="18.600000000000001" thickBot="1" x14ac:dyDescent="0.4">
      <c r="A18" s="108" t="s">
        <v>12</v>
      </c>
      <c r="B18" s="107"/>
      <c r="C18" s="180"/>
      <c r="D18" s="107"/>
      <c r="E18" s="107"/>
      <c r="F18" s="107"/>
    </row>
    <row r="19" spans="1:11" ht="62.4" x14ac:dyDescent="0.3">
      <c r="A19" s="98" t="s">
        <v>6</v>
      </c>
      <c r="B19" s="153" t="s">
        <v>135</v>
      </c>
      <c r="C19" s="146" t="s">
        <v>95</v>
      </c>
      <c r="D19" s="146" t="s">
        <v>14</v>
      </c>
      <c r="E19" s="146" t="s">
        <v>15</v>
      </c>
      <c r="F19" s="146" t="s">
        <v>10</v>
      </c>
    </row>
    <row r="20" spans="1:11" ht="16.2" thickBot="1" x14ac:dyDescent="0.35">
      <c r="A20" s="86">
        <v>1</v>
      </c>
      <c r="B20" s="97" t="s">
        <v>44</v>
      </c>
      <c r="C20" s="100">
        <f>PWETO!C20+MITWABA!C20+KILWA!C20+KASENGA!C21</f>
        <v>3</v>
      </c>
      <c r="D20" s="100">
        <f>PWETO!D20+MITWABA!D20+KILWA!D20+KASENGA!D21</f>
        <v>3</v>
      </c>
      <c r="E20" s="100">
        <f>PWETO!E20+MITWABA!E20+KILWA!E20+KASENGA!E21</f>
        <v>3</v>
      </c>
      <c r="F20" s="100">
        <f>SUM(C20:E20)</f>
        <v>9</v>
      </c>
    </row>
    <row r="21" spans="1:11" ht="16.2" thickBot="1" x14ac:dyDescent="0.35">
      <c r="A21" s="86">
        <v>2</v>
      </c>
      <c r="B21" s="97" t="s">
        <v>45</v>
      </c>
      <c r="C21" s="100">
        <f>PWETO!C21+MITWABA!C21+KILWA!C21+KASENGA!C22</f>
        <v>8</v>
      </c>
      <c r="D21" s="100">
        <f>PWETO!D21+MITWABA!D21+KILWA!D21+KASENGA!D22</f>
        <v>7</v>
      </c>
      <c r="E21" s="100">
        <f>PWETO!E21+MITWABA!E21+KILWA!E21+KASENGA!E22</f>
        <v>7</v>
      </c>
      <c r="F21" s="100">
        <f t="shared" ref="F21:F26" si="1">SUM(C21:E21)</f>
        <v>22</v>
      </c>
    </row>
    <row r="22" spans="1:11" ht="16.2" thickBot="1" x14ac:dyDescent="0.35">
      <c r="A22" s="86">
        <v>3</v>
      </c>
      <c r="B22" s="97" t="s">
        <v>46</v>
      </c>
      <c r="C22" s="100">
        <f>PWETO!C22+MITWABA!C22+KILWA!C22+KASENGA!C23</f>
        <v>3</v>
      </c>
      <c r="D22" s="100">
        <f>PWETO!D22+MITWABA!D22+KILWA!D22+KASENGA!D23</f>
        <v>3</v>
      </c>
      <c r="E22" s="100">
        <f>PWETO!E22+MITWABA!E22+KILWA!E22+KASENGA!E23</f>
        <v>1</v>
      </c>
      <c r="F22" s="100">
        <f t="shared" si="1"/>
        <v>7</v>
      </c>
    </row>
    <row r="23" spans="1:11" ht="16.2" thickBot="1" x14ac:dyDescent="0.35">
      <c r="A23" s="86">
        <v>4</v>
      </c>
      <c r="B23" s="97" t="s">
        <v>47</v>
      </c>
      <c r="C23" s="100">
        <f>PWETO!C23+MITWABA!C23+KILWA!C23+KASENGA!C24</f>
        <v>0</v>
      </c>
      <c r="D23" s="100">
        <f>PWETO!D23+MITWABA!D23+KILWA!D23+KASENGA!D24</f>
        <v>0</v>
      </c>
      <c r="E23" s="100">
        <f>PWETO!E23+MITWABA!E23+KILWA!E23+KASENGA!E24</f>
        <v>0</v>
      </c>
      <c r="F23" s="100">
        <f t="shared" si="1"/>
        <v>0</v>
      </c>
    </row>
    <row r="24" spans="1:11" ht="16.2" thickBot="1" x14ac:dyDescent="0.35">
      <c r="A24" s="86">
        <v>5</v>
      </c>
      <c r="B24" s="97" t="s">
        <v>48</v>
      </c>
      <c r="C24" s="100">
        <f>PWETO!C24+MITWABA!C24+KILWA!C24+KASENGA!C25</f>
        <v>0</v>
      </c>
      <c r="D24" s="100">
        <f>PWETO!D24+MITWABA!D24+KILWA!D24+KASENGA!D25</f>
        <v>0</v>
      </c>
      <c r="E24" s="100">
        <f>PWETO!E24+MITWABA!E24+KILWA!E24+KASENGA!E25</f>
        <v>0</v>
      </c>
      <c r="F24" s="100">
        <f t="shared" si="1"/>
        <v>0</v>
      </c>
    </row>
    <row r="25" spans="1:11" ht="16.2" thickBot="1" x14ac:dyDescent="0.35">
      <c r="A25" s="86">
        <v>6</v>
      </c>
      <c r="B25" s="97" t="s">
        <v>49</v>
      </c>
      <c r="C25" s="100">
        <f>PWETO!C25+MITWABA!C25+KILWA!C25+KASENGA!C26</f>
        <v>0</v>
      </c>
      <c r="D25" s="100">
        <f>PWETO!D25+MITWABA!D25+KILWA!D25+KASENGA!D26</f>
        <v>0</v>
      </c>
      <c r="E25" s="100">
        <f>PWETO!E25+MITWABA!E25+KILWA!E25+KASENGA!E26</f>
        <v>0</v>
      </c>
      <c r="F25" s="100">
        <f t="shared" si="1"/>
        <v>0</v>
      </c>
    </row>
    <row r="26" spans="1:11" ht="16.2" thickBot="1" x14ac:dyDescent="0.35">
      <c r="A26" s="86">
        <v>7</v>
      </c>
      <c r="B26" s="97" t="s">
        <v>50</v>
      </c>
      <c r="C26" s="100">
        <f>PWETO!C26+MITWABA!C26+KILWA!C26+KASENGA!C27</f>
        <v>1</v>
      </c>
      <c r="D26" s="100">
        <f>PWETO!D26+MITWABA!D26+KILWA!D26+KASENGA!D27</f>
        <v>1</v>
      </c>
      <c r="E26" s="100">
        <f>PWETO!E26+MITWABA!E26+KILWA!E26+KASENGA!E27</f>
        <v>1</v>
      </c>
      <c r="F26" s="100">
        <f t="shared" si="1"/>
        <v>3</v>
      </c>
    </row>
    <row r="27" spans="1:11" ht="16.2" thickBot="1" x14ac:dyDescent="0.35">
      <c r="A27" s="260" t="s">
        <v>10</v>
      </c>
      <c r="B27" s="267"/>
      <c r="C27" s="147">
        <f>SUM(C20:C26)</f>
        <v>15</v>
      </c>
      <c r="D27" s="147">
        <f>SUM(D20:D26)</f>
        <v>14</v>
      </c>
      <c r="E27" s="147">
        <f>SUM(E20:E26)</f>
        <v>12</v>
      </c>
      <c r="F27" s="147">
        <f>SUM(F20:F26)</f>
        <v>41</v>
      </c>
    </row>
    <row r="28" spans="1:11" x14ac:dyDescent="0.3">
      <c r="A28" s="8"/>
    </row>
    <row r="29" spans="1:11" ht="18" x14ac:dyDescent="0.35">
      <c r="A29" s="108" t="s">
        <v>105</v>
      </c>
      <c r="B29" s="107"/>
      <c r="C29" s="107"/>
      <c r="D29" s="107"/>
      <c r="E29" s="107"/>
      <c r="F29" s="107"/>
    </row>
    <row r="30" spans="1:11" ht="62.4" x14ac:dyDescent="0.3">
      <c r="A30" s="79" t="s">
        <v>6</v>
      </c>
      <c r="B30" s="104" t="s">
        <v>18</v>
      </c>
      <c r="C30" s="259" t="s">
        <v>51</v>
      </c>
      <c r="D30" s="259"/>
      <c r="E30" s="259" t="s">
        <v>52</v>
      </c>
      <c r="F30" s="259"/>
      <c r="G30" s="259" t="s">
        <v>53</v>
      </c>
      <c r="H30" s="259"/>
      <c r="I30" s="271" t="s">
        <v>10</v>
      </c>
      <c r="J30" s="272"/>
      <c r="K30" s="273"/>
    </row>
    <row r="31" spans="1:11" ht="15.6" x14ac:dyDescent="0.3">
      <c r="A31" s="82"/>
      <c r="B31" s="105"/>
      <c r="C31" s="148" t="s">
        <v>29</v>
      </c>
      <c r="D31" s="148" t="s">
        <v>30</v>
      </c>
      <c r="E31" s="148" t="s">
        <v>29</v>
      </c>
      <c r="F31" s="148" t="s">
        <v>30</v>
      </c>
      <c r="G31" s="148" t="s">
        <v>29</v>
      </c>
      <c r="H31" s="148" t="s">
        <v>30</v>
      </c>
      <c r="I31" s="148" t="s">
        <v>29</v>
      </c>
      <c r="J31" s="148" t="s">
        <v>30</v>
      </c>
      <c r="K31" s="148" t="s">
        <v>62</v>
      </c>
    </row>
    <row r="32" spans="1:11" ht="15.6" x14ac:dyDescent="0.3">
      <c r="A32" s="78">
        <v>1</v>
      </c>
      <c r="B32" s="106" t="s">
        <v>44</v>
      </c>
      <c r="C32" s="149">
        <f>PWETO!C32+MITWABA!C32+KILWA!C32+KASENGA!C33</f>
        <v>25</v>
      </c>
      <c r="D32" s="149">
        <f>PWETO!D32+MITWABA!D32+KILWA!D32+KASENGA!D33</f>
        <v>17</v>
      </c>
      <c r="E32" s="149">
        <f>PWETO!E32+MITWABA!E32+KILWA!E32+KASENGA!E33</f>
        <v>23</v>
      </c>
      <c r="F32" s="149">
        <f>PWETO!F32+MITWABA!F32+KILWA!F32+KASENGA!F33</f>
        <v>22</v>
      </c>
      <c r="G32" s="149">
        <f>PWETO!G32+MITWABA!G32+KILWA!G32+KASENGA!G33</f>
        <v>21</v>
      </c>
      <c r="H32" s="149">
        <f>PWETO!H32+MITWABA!H32+KILWA!H32+KASENGA!H33</f>
        <v>21</v>
      </c>
      <c r="I32" s="149">
        <f>G32+E32+C32</f>
        <v>69</v>
      </c>
      <c r="J32" s="149">
        <f>H32+F32+D32</f>
        <v>60</v>
      </c>
      <c r="K32" s="149">
        <f>J32+I32</f>
        <v>129</v>
      </c>
    </row>
    <row r="33" spans="1:17" ht="16.2" thickBot="1" x14ac:dyDescent="0.35">
      <c r="A33" s="86">
        <v>2</v>
      </c>
      <c r="B33" s="95" t="s">
        <v>45</v>
      </c>
      <c r="C33" s="149">
        <f>PWETO!C33+MITWABA!C33+KILWA!C33+KASENGA!C34</f>
        <v>109</v>
      </c>
      <c r="D33" s="149">
        <f>PWETO!D33+MITWABA!D33+KILWA!D33+KASENGA!D34</f>
        <v>107</v>
      </c>
      <c r="E33" s="149">
        <f>PWETO!E33+MITWABA!E33+KILWA!E33+KASENGA!E34</f>
        <v>96</v>
      </c>
      <c r="F33" s="149">
        <f>PWETO!F33+MITWABA!F33+KILWA!F33+KASENGA!F34</f>
        <v>108</v>
      </c>
      <c r="G33" s="149">
        <f>PWETO!G33+MITWABA!G33+KILWA!G33+KASENGA!G34</f>
        <v>66</v>
      </c>
      <c r="H33" s="149">
        <f>PWETO!H33+MITWABA!H33+KILWA!H33+KASENGA!H34</f>
        <v>71</v>
      </c>
      <c r="I33" s="149">
        <f t="shared" ref="I33:J38" si="2">G33+E33+C33</f>
        <v>271</v>
      </c>
      <c r="J33" s="149">
        <f t="shared" si="2"/>
        <v>286</v>
      </c>
      <c r="K33" s="149">
        <f t="shared" ref="K33:K38" si="3">J33+I33</f>
        <v>557</v>
      </c>
    </row>
    <row r="34" spans="1:17" ht="16.2" thickBot="1" x14ac:dyDescent="0.35">
      <c r="A34" s="86">
        <v>3</v>
      </c>
      <c r="B34" s="95" t="s">
        <v>46</v>
      </c>
      <c r="C34" s="149">
        <f>PWETO!C34+MITWABA!C34+KILWA!C34+KASENGA!C35</f>
        <v>15</v>
      </c>
      <c r="D34" s="149">
        <f>PWETO!D34+MITWABA!D34+KILWA!D34+KASENGA!D35</f>
        <v>18</v>
      </c>
      <c r="E34" s="149">
        <f>PWETO!E34+MITWABA!E34+KILWA!E34+KASENGA!E35</f>
        <v>13</v>
      </c>
      <c r="F34" s="149">
        <f>PWETO!F34+MITWABA!F34+KILWA!F34+KASENGA!F35</f>
        <v>14</v>
      </c>
      <c r="G34" s="149">
        <f>PWETO!G34+MITWABA!G34+KILWA!G34+KASENGA!G35</f>
        <v>15</v>
      </c>
      <c r="H34" s="149">
        <f>PWETO!H34+MITWABA!H34+KILWA!H34+KASENGA!H35</f>
        <v>14</v>
      </c>
      <c r="I34" s="149">
        <f t="shared" si="2"/>
        <v>43</v>
      </c>
      <c r="J34" s="149">
        <f t="shared" si="2"/>
        <v>46</v>
      </c>
      <c r="K34" s="149">
        <f t="shared" si="3"/>
        <v>89</v>
      </c>
    </row>
    <row r="35" spans="1:17" ht="16.2" thickBot="1" x14ac:dyDescent="0.35">
      <c r="A35" s="86">
        <v>4</v>
      </c>
      <c r="B35" s="95" t="s">
        <v>47</v>
      </c>
      <c r="C35" s="149">
        <f>PWETO!C35+MITWABA!C35+KILWA!C35+KASENGA!C36</f>
        <v>0</v>
      </c>
      <c r="D35" s="149">
        <f>PWETO!D35+MITWABA!D35+KILWA!D35+KASENGA!D36</f>
        <v>0</v>
      </c>
      <c r="E35" s="149">
        <f>PWETO!E35+MITWABA!E35+KILWA!E35+KASENGA!E36</f>
        <v>0</v>
      </c>
      <c r="F35" s="149">
        <f>PWETO!F35+MITWABA!F35+KILWA!F35+KASENGA!F36</f>
        <v>0</v>
      </c>
      <c r="G35" s="149">
        <f>PWETO!G35+MITWABA!G35+KILWA!G35+KASENGA!G36</f>
        <v>0</v>
      </c>
      <c r="H35" s="149">
        <f>PWETO!H35+MITWABA!H35+KILWA!H35+KASENGA!H36</f>
        <v>0</v>
      </c>
      <c r="I35" s="149">
        <f t="shared" si="2"/>
        <v>0</v>
      </c>
      <c r="J35" s="149">
        <f t="shared" si="2"/>
        <v>0</v>
      </c>
      <c r="K35" s="149">
        <f t="shared" si="3"/>
        <v>0</v>
      </c>
    </row>
    <row r="36" spans="1:17" ht="16.2" thickBot="1" x14ac:dyDescent="0.35">
      <c r="A36" s="86">
        <v>5</v>
      </c>
      <c r="B36" s="95" t="s">
        <v>48</v>
      </c>
      <c r="C36" s="149">
        <f>PWETO!C36+MITWABA!C36+KILWA!C36+KASENGA!C37</f>
        <v>0</v>
      </c>
      <c r="D36" s="149">
        <f>PWETO!D36+MITWABA!D36+KILWA!D36+KASENGA!D37</f>
        <v>0</v>
      </c>
      <c r="E36" s="149">
        <f>PWETO!E36+MITWABA!E36+KILWA!E36+KASENGA!E37</f>
        <v>0</v>
      </c>
      <c r="F36" s="149">
        <f>PWETO!F36+MITWABA!F36+KILWA!F36+KASENGA!F37</f>
        <v>0</v>
      </c>
      <c r="G36" s="149">
        <f>PWETO!G36+MITWABA!G36+KILWA!G36+KASENGA!G37</f>
        <v>0</v>
      </c>
      <c r="H36" s="149">
        <f>PWETO!H36+MITWABA!H36+KILWA!H36+KASENGA!H37</f>
        <v>0</v>
      </c>
      <c r="I36" s="149">
        <f t="shared" si="2"/>
        <v>0</v>
      </c>
      <c r="J36" s="149">
        <f t="shared" si="2"/>
        <v>0</v>
      </c>
      <c r="K36" s="149">
        <f t="shared" si="3"/>
        <v>0</v>
      </c>
    </row>
    <row r="37" spans="1:17" ht="16.2" thickBot="1" x14ac:dyDescent="0.35">
      <c r="A37" s="86">
        <v>6</v>
      </c>
      <c r="B37" s="95" t="s">
        <v>49</v>
      </c>
      <c r="C37" s="149">
        <f>PWETO!C37+MITWABA!C37+KILWA!C37+KASENGA!C38</f>
        <v>0</v>
      </c>
      <c r="D37" s="149">
        <f>PWETO!D37+MITWABA!D37+KILWA!D37+KASENGA!D38</f>
        <v>0</v>
      </c>
      <c r="E37" s="149">
        <f>PWETO!E37+MITWABA!E37+KILWA!E37+KASENGA!E38</f>
        <v>0</v>
      </c>
      <c r="F37" s="149">
        <f>PWETO!F37+MITWABA!F37+KILWA!F37+KASENGA!F38</f>
        <v>0</v>
      </c>
      <c r="G37" s="149">
        <f>PWETO!G37+MITWABA!G37+KILWA!G37+KASENGA!G38</f>
        <v>0</v>
      </c>
      <c r="H37" s="149">
        <f>PWETO!H37+MITWABA!H37+KILWA!H37+KASENGA!H38</f>
        <v>0</v>
      </c>
      <c r="I37" s="149">
        <f t="shared" si="2"/>
        <v>0</v>
      </c>
      <c r="J37" s="149">
        <f t="shared" si="2"/>
        <v>0</v>
      </c>
      <c r="K37" s="149">
        <f t="shared" si="3"/>
        <v>0</v>
      </c>
    </row>
    <row r="38" spans="1:17" ht="16.2" thickBot="1" x14ac:dyDescent="0.35">
      <c r="A38" s="86">
        <v>7</v>
      </c>
      <c r="B38" s="95" t="s">
        <v>50</v>
      </c>
      <c r="C38" s="149">
        <f>PWETO!C38+MITWABA!C38+KILWA!C38+KASENGA!C39</f>
        <v>5</v>
      </c>
      <c r="D38" s="149">
        <f>PWETO!D38+MITWABA!D38+KILWA!D38+KASENGA!D39</f>
        <v>4</v>
      </c>
      <c r="E38" s="149">
        <f>PWETO!E38+MITWABA!E38+KILWA!E38+KASENGA!E39</f>
        <v>3</v>
      </c>
      <c r="F38" s="149">
        <f>PWETO!F38+MITWABA!F38+KILWA!F38+KASENGA!F39</f>
        <v>2</v>
      </c>
      <c r="G38" s="149">
        <f>PWETO!G38+MITWABA!G38+KILWA!G38+KASENGA!G39</f>
        <v>1</v>
      </c>
      <c r="H38" s="149">
        <f>PWETO!H38+MITWABA!H38+KILWA!H38+KASENGA!H39</f>
        <v>3</v>
      </c>
      <c r="I38" s="149">
        <f t="shared" si="2"/>
        <v>9</v>
      </c>
      <c r="J38" s="149">
        <f t="shared" si="2"/>
        <v>9</v>
      </c>
      <c r="K38" s="149">
        <f t="shared" si="3"/>
        <v>18</v>
      </c>
    </row>
    <row r="39" spans="1:17" ht="16.2" thickBot="1" x14ac:dyDescent="0.35">
      <c r="A39" s="260" t="s">
        <v>10</v>
      </c>
      <c r="B39" s="261"/>
      <c r="C39" s="150">
        <f>SUM(C32:C38)</f>
        <v>154</v>
      </c>
      <c r="D39" s="150">
        <f t="shared" ref="D39:K39" si="4">SUM(D32:D38)</f>
        <v>146</v>
      </c>
      <c r="E39" s="150">
        <f t="shared" si="4"/>
        <v>135</v>
      </c>
      <c r="F39" s="150">
        <f t="shared" si="4"/>
        <v>146</v>
      </c>
      <c r="G39" s="150">
        <f t="shared" si="4"/>
        <v>103</v>
      </c>
      <c r="H39" s="150">
        <f t="shared" si="4"/>
        <v>109</v>
      </c>
      <c r="I39" s="150">
        <f t="shared" si="4"/>
        <v>392</v>
      </c>
      <c r="J39" s="150">
        <f t="shared" si="4"/>
        <v>401</v>
      </c>
      <c r="K39" s="150">
        <f t="shared" si="4"/>
        <v>793</v>
      </c>
      <c r="M39" s="161"/>
    </row>
    <row r="40" spans="1:17" x14ac:dyDescent="0.3">
      <c r="A40" s="8"/>
    </row>
    <row r="41" spans="1:17" ht="18" x14ac:dyDescent="0.3">
      <c r="A41" s="1" t="s">
        <v>106</v>
      </c>
    </row>
    <row r="42" spans="1:17" ht="57.6" x14ac:dyDescent="0.3">
      <c r="A42" s="60" t="s">
        <v>6</v>
      </c>
      <c r="B42" s="134" t="s">
        <v>18</v>
      </c>
      <c r="C42" s="230" t="s">
        <v>64</v>
      </c>
      <c r="D42" s="230"/>
      <c r="E42" s="230" t="s">
        <v>63</v>
      </c>
      <c r="F42" s="230"/>
      <c r="G42" s="230" t="s">
        <v>65</v>
      </c>
      <c r="H42" s="230"/>
      <c r="I42" s="230" t="s">
        <v>66</v>
      </c>
      <c r="J42" s="230"/>
      <c r="K42" s="230" t="s">
        <v>61</v>
      </c>
      <c r="L42" s="230"/>
      <c r="M42" s="240" t="s">
        <v>10</v>
      </c>
      <c r="N42" s="241"/>
      <c r="O42" s="242"/>
      <c r="P42" s="123"/>
      <c r="Q42" s="123"/>
    </row>
    <row r="43" spans="1:17" x14ac:dyDescent="0.3">
      <c r="A43" s="75"/>
      <c r="B43" s="151"/>
      <c r="C43" s="137" t="s">
        <v>43</v>
      </c>
      <c r="D43" s="137" t="s">
        <v>30</v>
      </c>
      <c r="E43" s="137" t="s">
        <v>43</v>
      </c>
      <c r="F43" s="137" t="s">
        <v>30</v>
      </c>
      <c r="G43" s="137" t="s">
        <v>43</v>
      </c>
      <c r="H43" s="137" t="s">
        <v>30</v>
      </c>
      <c r="I43" s="137" t="s">
        <v>43</v>
      </c>
      <c r="J43" s="137" t="s">
        <v>30</v>
      </c>
      <c r="K43" s="137" t="s">
        <v>43</v>
      </c>
      <c r="L43" s="137" t="s">
        <v>30</v>
      </c>
      <c r="M43" s="137" t="s">
        <v>43</v>
      </c>
      <c r="N43" s="137" t="s">
        <v>30</v>
      </c>
      <c r="O43" s="137" t="s">
        <v>67</v>
      </c>
      <c r="P43" s="12"/>
    </row>
    <row r="44" spans="1:17" x14ac:dyDescent="0.3">
      <c r="A44" s="14">
        <v>1</v>
      </c>
      <c r="B44" s="152" t="s">
        <v>44</v>
      </c>
      <c r="C44" s="18">
        <f>PWETO!C44+MITWABA!C44+KILWA!C44+KASENGA!C45</f>
        <v>0</v>
      </c>
      <c r="D44" s="18">
        <f>PWETO!D44+MITWABA!D44+KILWA!D44+KASENGA!D45</f>
        <v>0</v>
      </c>
      <c r="E44" s="18">
        <f>PWETO!E44+MITWABA!E44+KILWA!E44+KASENGA!E45</f>
        <v>0</v>
      </c>
      <c r="F44" s="18">
        <f>PWETO!F44+MITWABA!F44+KILWA!F44+KASENGA!F45</f>
        <v>0</v>
      </c>
      <c r="G44" s="18">
        <f>PWETO!G44+MITWABA!G44+KILWA!G44+KASENGA!G45</f>
        <v>0</v>
      </c>
      <c r="H44" s="18">
        <f>PWETO!H44+MITWABA!H44+KILWA!H44+KASENGA!H45</f>
        <v>0</v>
      </c>
      <c r="I44" s="18">
        <f>PWETO!I44+MITWABA!I44+KILWA!I44+KASENGA!I45</f>
        <v>0</v>
      </c>
      <c r="J44" s="18">
        <f>PWETO!J44+MITWABA!J44+KILWA!J44+KASENGA!J45</f>
        <v>9</v>
      </c>
      <c r="K44" s="18">
        <f>PWETO!K44+MITWABA!K44+KILWA!K44+KASENGA!K45</f>
        <v>0</v>
      </c>
      <c r="L44" s="18">
        <f>PWETO!L44+MITWABA!L44+KILWA!L44+KASENGA!L45</f>
        <v>0</v>
      </c>
      <c r="M44" s="18">
        <f>K44+I44+G44+E44+C44</f>
        <v>0</v>
      </c>
      <c r="N44" s="18">
        <f>L44+J44+H44+F44+D44</f>
        <v>9</v>
      </c>
      <c r="O44" s="18">
        <f>N44+M44</f>
        <v>9</v>
      </c>
      <c r="P44" s="12"/>
    </row>
    <row r="45" spans="1:17" x14ac:dyDescent="0.3">
      <c r="A45" s="14">
        <v>2</v>
      </c>
      <c r="B45" s="152" t="s">
        <v>45</v>
      </c>
      <c r="C45" s="18">
        <f>PWETO!C45+MITWABA!C45+KILWA!C45+KASENGA!C46</f>
        <v>0</v>
      </c>
      <c r="D45" s="18">
        <f>PWETO!D45+MITWABA!D45+KILWA!D45+KASENGA!D46</f>
        <v>0</v>
      </c>
      <c r="E45" s="18">
        <f>PWETO!E45+MITWABA!E45+KILWA!E45+KASENGA!E46</f>
        <v>0</v>
      </c>
      <c r="F45" s="18">
        <f>PWETO!F45+MITWABA!F45+KILWA!F45+KASENGA!F46</f>
        <v>0</v>
      </c>
      <c r="G45" s="18">
        <f>PWETO!G45+MITWABA!G45+KILWA!G45+KASENGA!G46</f>
        <v>0</v>
      </c>
      <c r="H45" s="18">
        <f>PWETO!H45+MITWABA!H45+KILWA!H45+KASENGA!H46</f>
        <v>0</v>
      </c>
      <c r="I45" s="18">
        <f>PWETO!I45+MITWABA!I45+KILWA!I45+KASENGA!I46</f>
        <v>0</v>
      </c>
      <c r="J45" s="18">
        <f>PWETO!J45+MITWABA!J45+KILWA!J45+KASENGA!J46</f>
        <v>39</v>
      </c>
      <c r="K45" s="18">
        <f>PWETO!K45+MITWABA!K45+KILWA!K45+KASENGA!K46</f>
        <v>0</v>
      </c>
      <c r="L45" s="18">
        <f>PWETO!L45+MITWABA!L45+KILWA!L45+KASENGA!L46</f>
        <v>0</v>
      </c>
      <c r="M45" s="18">
        <f t="shared" ref="M45:N50" si="5">K45+I45+G45+E45+C45</f>
        <v>0</v>
      </c>
      <c r="N45" s="18">
        <f t="shared" si="5"/>
        <v>39</v>
      </c>
      <c r="O45" s="18">
        <f t="shared" ref="O45:O50" si="6">N45+M45</f>
        <v>39</v>
      </c>
      <c r="P45" s="12"/>
    </row>
    <row r="46" spans="1:17" x14ac:dyDescent="0.3">
      <c r="A46" s="14">
        <v>3</v>
      </c>
      <c r="B46" s="152" t="s">
        <v>46</v>
      </c>
      <c r="C46" s="18">
        <f>PWETO!C46+MITWABA!C46+KILWA!C46+KASENGA!C47</f>
        <v>0</v>
      </c>
      <c r="D46" s="18">
        <f>PWETO!D46+MITWABA!D46+KILWA!D46+KASENGA!D47</f>
        <v>0</v>
      </c>
      <c r="E46" s="18">
        <f>PWETO!E46+MITWABA!E46+KILWA!E46+KASENGA!E47</f>
        <v>0</v>
      </c>
      <c r="F46" s="18">
        <f>PWETO!F46+MITWABA!F46+KILWA!F46+KASENGA!F47</f>
        <v>0</v>
      </c>
      <c r="G46" s="18">
        <f>PWETO!G46+MITWABA!G46+KILWA!G46+KASENGA!G47</f>
        <v>0</v>
      </c>
      <c r="H46" s="18">
        <f>PWETO!H46+MITWABA!H46+KILWA!H46+KASENGA!H47</f>
        <v>0</v>
      </c>
      <c r="I46" s="18">
        <f>PWETO!I46+MITWABA!I46+KILWA!I46+KASENGA!I47</f>
        <v>0</v>
      </c>
      <c r="J46" s="18">
        <f>PWETO!J46+MITWABA!J46+KILWA!J46+KASENGA!J47</f>
        <v>7</v>
      </c>
      <c r="K46" s="18">
        <f>PWETO!K46+MITWABA!K46+KILWA!K46+KASENGA!K47</f>
        <v>0</v>
      </c>
      <c r="L46" s="18">
        <f>PWETO!L46+MITWABA!L46+KILWA!L46+KASENGA!L47</f>
        <v>0</v>
      </c>
      <c r="M46" s="18">
        <f t="shared" si="5"/>
        <v>0</v>
      </c>
      <c r="N46" s="18">
        <f t="shared" si="5"/>
        <v>7</v>
      </c>
      <c r="O46" s="18">
        <f t="shared" si="6"/>
        <v>7</v>
      </c>
      <c r="P46" s="12"/>
    </row>
    <row r="47" spans="1:17" x14ac:dyDescent="0.3">
      <c r="A47" s="14">
        <v>4</v>
      </c>
      <c r="B47" s="152" t="s">
        <v>47</v>
      </c>
      <c r="C47" s="18">
        <f>PWETO!C47+MITWABA!C47+KILWA!C47+KASENGA!C48</f>
        <v>0</v>
      </c>
      <c r="D47" s="18">
        <f>PWETO!D47+MITWABA!D47+KILWA!D47+KASENGA!D48</f>
        <v>0</v>
      </c>
      <c r="E47" s="18">
        <f>PWETO!E47+MITWABA!E47+KILWA!E47+KASENGA!E48</f>
        <v>0</v>
      </c>
      <c r="F47" s="18">
        <f>PWETO!F47+MITWABA!F47+KILWA!F47+KASENGA!F48</f>
        <v>0</v>
      </c>
      <c r="G47" s="18">
        <f>PWETO!G47+MITWABA!G47+KILWA!G47+KASENGA!G48</f>
        <v>0</v>
      </c>
      <c r="H47" s="18">
        <f>PWETO!H47+MITWABA!H47+KILWA!H47+KASENGA!H48</f>
        <v>0</v>
      </c>
      <c r="I47" s="18">
        <f>PWETO!I47+MITWABA!I47+KILWA!I47+KASENGA!I48</f>
        <v>0</v>
      </c>
      <c r="J47" s="18">
        <f>PWETO!J47+MITWABA!J47+KILWA!J47+KASENGA!J48</f>
        <v>0</v>
      </c>
      <c r="K47" s="18">
        <f>PWETO!K47+MITWABA!K47+KILWA!K47+KASENGA!K48</f>
        <v>0</v>
      </c>
      <c r="L47" s="18">
        <f>PWETO!L47+MITWABA!L47+KILWA!L47+KASENGA!L48</f>
        <v>0</v>
      </c>
      <c r="M47" s="18">
        <f t="shared" si="5"/>
        <v>0</v>
      </c>
      <c r="N47" s="18">
        <f t="shared" si="5"/>
        <v>0</v>
      </c>
      <c r="O47" s="18">
        <f t="shared" si="6"/>
        <v>0</v>
      </c>
      <c r="P47" s="12"/>
    </row>
    <row r="48" spans="1:17" x14ac:dyDescent="0.3">
      <c r="A48" s="14">
        <v>5</v>
      </c>
      <c r="B48" s="152" t="s">
        <v>48</v>
      </c>
      <c r="C48" s="18">
        <f>PWETO!C48+MITWABA!C48+KILWA!C48+KASENGA!C49</f>
        <v>0</v>
      </c>
      <c r="D48" s="18">
        <f>PWETO!D48+MITWABA!D48+KILWA!D48+KASENGA!D49</f>
        <v>0</v>
      </c>
      <c r="E48" s="18">
        <f>PWETO!E48+MITWABA!E48+KILWA!E48+KASENGA!E49</f>
        <v>0</v>
      </c>
      <c r="F48" s="18">
        <f>PWETO!F48+MITWABA!F48+KILWA!F48+KASENGA!F49</f>
        <v>0</v>
      </c>
      <c r="G48" s="18">
        <f>PWETO!G48+MITWABA!G48+KILWA!G48+KASENGA!G49</f>
        <v>0</v>
      </c>
      <c r="H48" s="18">
        <f>PWETO!H48+MITWABA!H48+KILWA!H48+KASENGA!H49</f>
        <v>0</v>
      </c>
      <c r="I48" s="18">
        <f>PWETO!I48+MITWABA!I48+KILWA!I48+KASENGA!I49</f>
        <v>0</v>
      </c>
      <c r="J48" s="18">
        <f>PWETO!J48+MITWABA!J48+KILWA!J48+KASENGA!J49</f>
        <v>0</v>
      </c>
      <c r="K48" s="18">
        <f>PWETO!K48+MITWABA!K48+KILWA!K48+KASENGA!K49</f>
        <v>0</v>
      </c>
      <c r="L48" s="18">
        <f>PWETO!L48+MITWABA!L48+KILWA!L48+KASENGA!L49</f>
        <v>0</v>
      </c>
      <c r="M48" s="18">
        <f t="shared" si="5"/>
        <v>0</v>
      </c>
      <c r="N48" s="18">
        <f t="shared" si="5"/>
        <v>0</v>
      </c>
      <c r="O48" s="18">
        <f t="shared" si="6"/>
        <v>0</v>
      </c>
      <c r="P48" s="12"/>
    </row>
    <row r="49" spans="1:16" x14ac:dyDescent="0.3">
      <c r="A49" s="14">
        <v>6</v>
      </c>
      <c r="B49" s="152" t="s">
        <v>49</v>
      </c>
      <c r="C49" s="18">
        <f>PWETO!C49+MITWABA!C49+KILWA!C49+KASENGA!C50</f>
        <v>0</v>
      </c>
      <c r="D49" s="18">
        <f>PWETO!D49+MITWABA!D49+KILWA!D49+KASENGA!D50</f>
        <v>0</v>
      </c>
      <c r="E49" s="18">
        <f>PWETO!E49+MITWABA!E49+KILWA!E49+KASENGA!E50</f>
        <v>0</v>
      </c>
      <c r="F49" s="18">
        <f>PWETO!F49+MITWABA!F49+KILWA!F49+KASENGA!F50</f>
        <v>0</v>
      </c>
      <c r="G49" s="18">
        <f>PWETO!G49+MITWABA!G49+KILWA!G49+KASENGA!G50</f>
        <v>0</v>
      </c>
      <c r="H49" s="18">
        <f>PWETO!H49+MITWABA!H49+KILWA!H49+KASENGA!H50</f>
        <v>0</v>
      </c>
      <c r="I49" s="18">
        <f>PWETO!I49+MITWABA!I49+KILWA!I49+KASENGA!I50</f>
        <v>0</v>
      </c>
      <c r="J49" s="18">
        <f>PWETO!J49+MITWABA!J49+KILWA!J49+KASENGA!J50</f>
        <v>0</v>
      </c>
      <c r="K49" s="18">
        <f>PWETO!K49+MITWABA!K49+KILWA!K49+KASENGA!K50</f>
        <v>0</v>
      </c>
      <c r="L49" s="18">
        <f>PWETO!L49+MITWABA!L49+KILWA!L49+KASENGA!L50</f>
        <v>0</v>
      </c>
      <c r="M49" s="18">
        <f t="shared" si="5"/>
        <v>0</v>
      </c>
      <c r="N49" s="18">
        <f t="shared" si="5"/>
        <v>0</v>
      </c>
      <c r="O49" s="18">
        <f t="shared" si="6"/>
        <v>0</v>
      </c>
      <c r="P49" s="12"/>
    </row>
    <row r="50" spans="1:16" x14ac:dyDescent="0.3">
      <c r="A50" s="14">
        <v>7</v>
      </c>
      <c r="B50" s="152" t="s">
        <v>50</v>
      </c>
      <c r="C50" s="18">
        <f>PWETO!C50+MITWABA!C50+KILWA!C50+KASENGA!C51</f>
        <v>0</v>
      </c>
      <c r="D50" s="18">
        <f>PWETO!D50+MITWABA!D50+KILWA!D50+KASENGA!D51</f>
        <v>0</v>
      </c>
      <c r="E50" s="18">
        <f>PWETO!E50+MITWABA!E50+KILWA!E50+KASENGA!E51</f>
        <v>0</v>
      </c>
      <c r="F50" s="18">
        <f>PWETO!F50+MITWABA!F50+KILWA!F50+KASENGA!F51</f>
        <v>0</v>
      </c>
      <c r="G50" s="18">
        <f>PWETO!G50+MITWABA!G50+KILWA!G50+KASENGA!G51</f>
        <v>0</v>
      </c>
      <c r="H50" s="18">
        <f>PWETO!H50+MITWABA!H50+KILWA!H50+KASENGA!H51</f>
        <v>0</v>
      </c>
      <c r="I50" s="18">
        <f>PWETO!I50+MITWABA!I50+KILWA!I50+KASENGA!I51</f>
        <v>0</v>
      </c>
      <c r="J50" s="18">
        <f>PWETO!J50+MITWABA!J50+KILWA!J50+KASENGA!J51</f>
        <v>3</v>
      </c>
      <c r="K50" s="18">
        <f>PWETO!K50+MITWABA!K50+KILWA!K50+KASENGA!K51</f>
        <v>0</v>
      </c>
      <c r="L50" s="18">
        <f>PWETO!L50+MITWABA!L50+KILWA!L50+KASENGA!L51</f>
        <v>0</v>
      </c>
      <c r="M50" s="18">
        <f t="shared" si="5"/>
        <v>0</v>
      </c>
      <c r="N50" s="18">
        <f t="shared" si="5"/>
        <v>3</v>
      </c>
      <c r="O50" s="18">
        <f t="shared" si="6"/>
        <v>3</v>
      </c>
      <c r="P50" s="12"/>
    </row>
    <row r="51" spans="1:16" x14ac:dyDescent="0.3">
      <c r="A51" s="234" t="s">
        <v>10</v>
      </c>
      <c r="B51" s="274"/>
      <c r="C51" s="65">
        <f>SUM(C44:C50)</f>
        <v>0</v>
      </c>
      <c r="D51" s="65">
        <f t="shared" ref="D51:O51" si="7">SUM(D44:D50)</f>
        <v>0</v>
      </c>
      <c r="E51" s="65">
        <f t="shared" si="7"/>
        <v>0</v>
      </c>
      <c r="F51" s="65">
        <f t="shared" si="7"/>
        <v>0</v>
      </c>
      <c r="G51" s="65">
        <f t="shared" si="7"/>
        <v>0</v>
      </c>
      <c r="H51" s="65">
        <f t="shared" si="7"/>
        <v>0</v>
      </c>
      <c r="I51" s="65">
        <f t="shared" si="7"/>
        <v>0</v>
      </c>
      <c r="J51" s="65">
        <f t="shared" si="7"/>
        <v>58</v>
      </c>
      <c r="K51" s="65">
        <f t="shared" si="7"/>
        <v>0</v>
      </c>
      <c r="L51" s="65">
        <f t="shared" si="7"/>
        <v>0</v>
      </c>
      <c r="M51" s="65">
        <f t="shared" si="7"/>
        <v>0</v>
      </c>
      <c r="N51" s="65">
        <f t="shared" si="7"/>
        <v>58</v>
      </c>
      <c r="O51" s="65">
        <f t="shared" si="7"/>
        <v>58</v>
      </c>
      <c r="P51" s="123"/>
    </row>
    <row r="53" spans="1:16" ht="18" x14ac:dyDescent="0.3">
      <c r="A53" s="96" t="s">
        <v>19</v>
      </c>
    </row>
    <row r="54" spans="1:16" ht="18.600000000000001" thickBot="1" x14ac:dyDescent="0.35">
      <c r="A54" s="96" t="s">
        <v>20</v>
      </c>
    </row>
    <row r="55" spans="1:16" ht="62.4" x14ac:dyDescent="0.3">
      <c r="A55" s="98" t="s">
        <v>6</v>
      </c>
      <c r="B55" s="99" t="s">
        <v>18</v>
      </c>
      <c r="C55" s="146" t="s">
        <v>99</v>
      </c>
      <c r="D55" s="146" t="s">
        <v>100</v>
      </c>
      <c r="E55" s="146" t="s">
        <v>101</v>
      </c>
      <c r="F55" s="146" t="s">
        <v>102</v>
      </c>
      <c r="G55" s="146" t="s">
        <v>136</v>
      </c>
      <c r="H55" s="146" t="s">
        <v>137</v>
      </c>
      <c r="I55" s="146" t="s">
        <v>10</v>
      </c>
    </row>
    <row r="56" spans="1:16" ht="16.2" thickBot="1" x14ac:dyDescent="0.35">
      <c r="A56" s="86">
        <v>1</v>
      </c>
      <c r="B56" s="83" t="s">
        <v>44</v>
      </c>
      <c r="C56" s="100">
        <f>PWETO!C56+MITWABA!C56+KILWA!C56+KASENGA!C57</f>
        <v>122</v>
      </c>
      <c r="D56" s="100">
        <f>PWETO!D56+MITWABA!D56+KILWA!D56+KASENGA!D57</f>
        <v>122</v>
      </c>
      <c r="E56" s="100">
        <f>PWETO!E56+MITWABA!E56+KILWA!E56+KASENGA!E57</f>
        <v>104</v>
      </c>
      <c r="F56" s="100">
        <f>PWETO!F56+MITWABA!F56+KILWA!F56+KASENGA!F57</f>
        <v>102</v>
      </c>
      <c r="G56" s="100">
        <f>PWETO!G56+MITWABA!G56+KILWA!G56+KASENGA!G57</f>
        <v>102</v>
      </c>
      <c r="H56" s="100">
        <f>PWETO!H56+MITWABA!H56+KILWA!H56+KASENGA!H57</f>
        <v>98</v>
      </c>
      <c r="I56" s="100">
        <f>SUM(C56:H56)</f>
        <v>650</v>
      </c>
      <c r="J56" s="162"/>
    </row>
    <row r="57" spans="1:16" ht="16.2" thickBot="1" x14ac:dyDescent="0.35">
      <c r="A57" s="86">
        <v>2</v>
      </c>
      <c r="B57" s="97" t="s">
        <v>45</v>
      </c>
      <c r="C57" s="100">
        <f>PWETO!C57+MITWABA!C57+KILWA!C57+KASENGA!C58</f>
        <v>382</v>
      </c>
      <c r="D57" s="100">
        <f>PWETO!D57+MITWABA!D57+KILWA!D57+KASENGA!D58</f>
        <v>358</v>
      </c>
      <c r="E57" s="100">
        <f>PWETO!E57+MITWABA!E57+KILWA!E57+KASENGA!E58</f>
        <v>337</v>
      </c>
      <c r="F57" s="100">
        <f>PWETO!F57+MITWABA!F57+KILWA!F57+KASENGA!F58</f>
        <v>315</v>
      </c>
      <c r="G57" s="100">
        <f>PWETO!G57+MITWABA!G57+KILWA!G57+KASENGA!G58</f>
        <v>313</v>
      </c>
      <c r="H57" s="100">
        <f>PWETO!H57+MITWABA!H57+KILWA!H57+KASENGA!H58</f>
        <v>293</v>
      </c>
      <c r="I57" s="100">
        <f t="shared" ref="I57:I62" si="8">SUM(C57:H57)</f>
        <v>1998</v>
      </c>
    </row>
    <row r="58" spans="1:16" ht="16.2" thickBot="1" x14ac:dyDescent="0.35">
      <c r="A58" s="86">
        <v>3</v>
      </c>
      <c r="B58" s="97" t="s">
        <v>46</v>
      </c>
      <c r="C58" s="100">
        <f>PWETO!C58+MITWABA!C58+KILWA!C58+KASENGA!C59</f>
        <v>334</v>
      </c>
      <c r="D58" s="100">
        <f>PWETO!D58+MITWABA!D58+KILWA!D58+KASENGA!D59</f>
        <v>325</v>
      </c>
      <c r="E58" s="100">
        <f>PWETO!E58+MITWABA!E58+KILWA!E58+KASENGA!E59</f>
        <v>309</v>
      </c>
      <c r="F58" s="100">
        <f>PWETO!F58+MITWABA!F58+KILWA!F58+KASENGA!F59</f>
        <v>306</v>
      </c>
      <c r="G58" s="100">
        <f>PWETO!G58+MITWABA!G58+KILWA!G58+KASENGA!G59</f>
        <v>294</v>
      </c>
      <c r="H58" s="100">
        <f>PWETO!H58+MITWABA!H58+KILWA!H58+KASENGA!H59</f>
        <v>290</v>
      </c>
      <c r="I58" s="100">
        <f t="shared" si="8"/>
        <v>1858</v>
      </c>
    </row>
    <row r="59" spans="1:16" ht="16.2" thickBot="1" x14ac:dyDescent="0.35">
      <c r="A59" s="86">
        <v>4</v>
      </c>
      <c r="B59" s="97" t="s">
        <v>47</v>
      </c>
      <c r="C59" s="100">
        <f>PWETO!C59+MITWABA!C59+KILWA!C59+KASENGA!C60</f>
        <v>18</v>
      </c>
      <c r="D59" s="100">
        <f>PWETO!D59+MITWABA!D59+KILWA!D59+KASENGA!D60</f>
        <v>18</v>
      </c>
      <c r="E59" s="100">
        <f>PWETO!E59+MITWABA!E59+KILWA!E59+KASENGA!E60</f>
        <v>18</v>
      </c>
      <c r="F59" s="100">
        <f>PWETO!F59+MITWABA!F59+KILWA!F59+KASENGA!F60</f>
        <v>18</v>
      </c>
      <c r="G59" s="100">
        <f>PWETO!G59+MITWABA!G59+KILWA!G59+KASENGA!G60</f>
        <v>18</v>
      </c>
      <c r="H59" s="100">
        <f>PWETO!H59+MITWABA!H59+KILWA!H59+KASENGA!H60</f>
        <v>18</v>
      </c>
      <c r="I59" s="100">
        <f t="shared" si="8"/>
        <v>108</v>
      </c>
    </row>
    <row r="60" spans="1:16" ht="16.2" thickBot="1" x14ac:dyDescent="0.35">
      <c r="A60" s="86">
        <v>5</v>
      </c>
      <c r="B60" s="97" t="s">
        <v>48</v>
      </c>
      <c r="C60" s="100">
        <f>PWETO!C60+MITWABA!C60+KILWA!C60+KASENGA!C61</f>
        <v>0</v>
      </c>
      <c r="D60" s="100">
        <f>PWETO!D60+MITWABA!D60+KILWA!D60+KASENGA!D61</f>
        <v>0</v>
      </c>
      <c r="E60" s="100">
        <f>PWETO!E60+MITWABA!E60+KILWA!E60+KASENGA!E61</f>
        <v>0</v>
      </c>
      <c r="F60" s="100">
        <f>PWETO!F60+MITWABA!F60+KILWA!F60+KASENGA!F61</f>
        <v>0</v>
      </c>
      <c r="G60" s="100">
        <f>PWETO!G60+MITWABA!G60+KILWA!G60+KASENGA!G61</f>
        <v>0</v>
      </c>
      <c r="H60" s="100">
        <f>PWETO!H60+MITWABA!H60+KILWA!H60+KASENGA!H61</f>
        <v>0</v>
      </c>
      <c r="I60" s="100">
        <f t="shared" si="8"/>
        <v>0</v>
      </c>
    </row>
    <row r="61" spans="1:16" ht="16.2" thickBot="1" x14ac:dyDescent="0.35">
      <c r="A61" s="86">
        <v>6</v>
      </c>
      <c r="B61" s="97" t="s">
        <v>49</v>
      </c>
      <c r="C61" s="100">
        <f>PWETO!C61+MITWABA!C61+KILWA!C61+KASENGA!C62</f>
        <v>10</v>
      </c>
      <c r="D61" s="100">
        <f>PWETO!D61+MITWABA!D61+KILWA!D61+KASENGA!D62</f>
        <v>10</v>
      </c>
      <c r="E61" s="100">
        <f>PWETO!E61+MITWABA!E61+KILWA!E61+KASENGA!E62</f>
        <v>9</v>
      </c>
      <c r="F61" s="100">
        <f>PWETO!F61+MITWABA!F61+KILWA!F61+KASENGA!F62</f>
        <v>9</v>
      </c>
      <c r="G61" s="100">
        <f>PWETO!G61+MITWABA!G61+KILWA!G61+KASENGA!G62</f>
        <v>9</v>
      </c>
      <c r="H61" s="100">
        <f>PWETO!H61+MITWABA!H61+KILWA!H61+KASENGA!H62</f>
        <v>9</v>
      </c>
      <c r="I61" s="100">
        <f t="shared" si="8"/>
        <v>56</v>
      </c>
    </row>
    <row r="62" spans="1:16" ht="16.2" thickBot="1" x14ac:dyDescent="0.35">
      <c r="A62" s="86">
        <v>7</v>
      </c>
      <c r="B62" s="97" t="s">
        <v>50</v>
      </c>
      <c r="C62" s="100">
        <f>PWETO!C62+MITWABA!C62+KILWA!C62+KASENGA!C63</f>
        <v>11</v>
      </c>
      <c r="D62" s="100">
        <f>PWETO!D62+MITWABA!D62+KILWA!D62+KASENGA!D63</f>
        <v>11</v>
      </c>
      <c r="E62" s="100">
        <f>PWETO!E62+MITWABA!E62+KILWA!E62+KASENGA!E63</f>
        <v>10</v>
      </c>
      <c r="F62" s="100">
        <f>PWETO!F62+MITWABA!F62+KILWA!F62+KASENGA!F63</f>
        <v>10</v>
      </c>
      <c r="G62" s="100">
        <f>PWETO!G62+MITWABA!G62+KILWA!G62+KASENGA!G63</f>
        <v>10</v>
      </c>
      <c r="H62" s="100">
        <f>PWETO!H62+MITWABA!H62+KILWA!H62+KASENGA!H63</f>
        <v>10</v>
      </c>
      <c r="I62" s="100">
        <f t="shared" si="8"/>
        <v>62</v>
      </c>
    </row>
    <row r="63" spans="1:16" ht="16.2" customHeight="1" x14ac:dyDescent="0.3">
      <c r="A63" s="275" t="s">
        <v>10</v>
      </c>
      <c r="B63" s="276"/>
      <c r="C63" s="150">
        <f>SUM(C56:C62)</f>
        <v>877</v>
      </c>
      <c r="D63" s="150">
        <f t="shared" ref="D63:I63" si="9">SUM(D56:D62)</f>
        <v>844</v>
      </c>
      <c r="E63" s="150">
        <f t="shared" si="9"/>
        <v>787</v>
      </c>
      <c r="F63" s="150">
        <f t="shared" si="9"/>
        <v>760</v>
      </c>
      <c r="G63" s="150">
        <f t="shared" si="9"/>
        <v>746</v>
      </c>
      <c r="H63" s="150">
        <f t="shared" si="9"/>
        <v>718</v>
      </c>
      <c r="I63" s="178">
        <f t="shared" si="9"/>
        <v>4732</v>
      </c>
      <c r="J63" s="177"/>
    </row>
    <row r="64" spans="1:16" x14ac:dyDescent="0.3">
      <c r="A64" s="1"/>
    </row>
    <row r="65" spans="1:19" x14ac:dyDescent="0.3">
      <c r="A65" s="112" t="s">
        <v>27</v>
      </c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</row>
    <row r="66" spans="1:19" ht="62.4" x14ac:dyDescent="0.3">
      <c r="A66" s="163" t="s">
        <v>6</v>
      </c>
      <c r="B66" s="163" t="s">
        <v>18</v>
      </c>
      <c r="C66" s="277" t="s">
        <v>99</v>
      </c>
      <c r="D66" s="277"/>
      <c r="E66" s="277" t="s">
        <v>68</v>
      </c>
      <c r="F66" s="277"/>
      <c r="G66" s="277" t="s">
        <v>69</v>
      </c>
      <c r="H66" s="277"/>
      <c r="I66" s="277" t="s">
        <v>39</v>
      </c>
      <c r="J66" s="277"/>
      <c r="K66" s="277" t="s">
        <v>70</v>
      </c>
      <c r="L66" s="277"/>
      <c r="M66" s="277" t="s">
        <v>40</v>
      </c>
      <c r="N66" s="277"/>
      <c r="O66" s="277" t="s">
        <v>10</v>
      </c>
      <c r="P66" s="277"/>
      <c r="Q66" s="277"/>
    </row>
    <row r="67" spans="1:19" ht="15.6" x14ac:dyDescent="0.3">
      <c r="A67" s="91"/>
      <c r="B67" s="91"/>
      <c r="C67" s="148" t="s">
        <v>29</v>
      </c>
      <c r="D67" s="148" t="s">
        <v>30</v>
      </c>
      <c r="E67" s="148" t="s">
        <v>29</v>
      </c>
      <c r="F67" s="148" t="s">
        <v>30</v>
      </c>
      <c r="G67" s="148" t="s">
        <v>29</v>
      </c>
      <c r="H67" s="148" t="s">
        <v>30</v>
      </c>
      <c r="I67" s="148" t="s">
        <v>29</v>
      </c>
      <c r="J67" s="148" t="s">
        <v>30</v>
      </c>
      <c r="K67" s="148" t="s">
        <v>29</v>
      </c>
      <c r="L67" s="148" t="s">
        <v>30</v>
      </c>
      <c r="M67" s="148" t="s">
        <v>29</v>
      </c>
      <c r="N67" s="148" t="s">
        <v>30</v>
      </c>
      <c r="O67" s="148" t="s">
        <v>29</v>
      </c>
      <c r="P67" s="148" t="s">
        <v>30</v>
      </c>
      <c r="Q67" s="148" t="s">
        <v>62</v>
      </c>
    </row>
    <row r="68" spans="1:19" ht="16.2" thickBot="1" x14ac:dyDescent="0.35">
      <c r="A68" s="84">
        <v>1</v>
      </c>
      <c r="B68" s="102" t="s">
        <v>44</v>
      </c>
      <c r="C68" s="100">
        <f>PWETO!C68+MITWABA!C68+KILWA!C68+KASENGA!C69</f>
        <v>2846</v>
      </c>
      <c r="D68" s="100">
        <f>PWETO!D68+MITWABA!D68+KILWA!D68+KASENGA!D69</f>
        <v>2799</v>
      </c>
      <c r="E68" s="100">
        <f>PWETO!E68+MITWABA!E68+KILWA!E68+KASENGA!E69</f>
        <v>2564</v>
      </c>
      <c r="F68" s="100">
        <f>PWETO!F68+MITWABA!F68+KILWA!F68+KASENGA!F69</f>
        <v>2508</v>
      </c>
      <c r="G68" s="100">
        <f>PWETO!G68+MITWABA!G68+KILWA!G68+KASENGA!G69</f>
        <v>2323</v>
      </c>
      <c r="H68" s="100">
        <f>PWETO!H68+MITWABA!H68+KILWA!H68+KASENGA!H69</f>
        <v>2178</v>
      </c>
      <c r="I68" s="100">
        <f>PWETO!I68+MITWABA!I68+KILWA!I68+KASENGA!I69</f>
        <v>2133</v>
      </c>
      <c r="J68" s="100">
        <f>PWETO!J68+MITWABA!J68+KILWA!J68+KASENGA!J69</f>
        <v>2042</v>
      </c>
      <c r="K68" s="100">
        <f>PWETO!K68+MITWABA!K68+KILWA!K68+KASENGA!K69</f>
        <v>2255</v>
      </c>
      <c r="L68" s="100">
        <f>PWETO!L68+MITWABA!L68+KILWA!L68+KASENGA!L69</f>
        <v>1905</v>
      </c>
      <c r="M68" s="100">
        <f>PWETO!M68+MITWABA!M68+KILWA!M68+KASENGA!M69</f>
        <v>1305</v>
      </c>
      <c r="N68" s="100">
        <f>PWETO!N68+MITWABA!N68+KILWA!N68+KASENGA!N69</f>
        <v>1213</v>
      </c>
      <c r="O68" s="149">
        <f>M68+K68+I68+G68+E68+C68</f>
        <v>13426</v>
      </c>
      <c r="P68" s="149">
        <f>N68+L68+J68+H68+F68+D68</f>
        <v>12645</v>
      </c>
      <c r="Q68" s="149">
        <f>O68+P68</f>
        <v>26071</v>
      </c>
    </row>
    <row r="69" spans="1:19" ht="16.2" thickBot="1" x14ac:dyDescent="0.35">
      <c r="A69" s="84">
        <v>2</v>
      </c>
      <c r="B69" s="102" t="s">
        <v>45</v>
      </c>
      <c r="C69" s="100">
        <f>PWETO!C69+MITWABA!C69+KILWA!C69+KASENGA!C70</f>
        <v>11021</v>
      </c>
      <c r="D69" s="100">
        <f>PWETO!D69+MITWABA!D69+KILWA!D69+KASENGA!D70</f>
        <v>9998</v>
      </c>
      <c r="E69" s="100">
        <f>PWETO!E69+MITWABA!E69+KILWA!E69+KASENGA!E70</f>
        <v>9622</v>
      </c>
      <c r="F69" s="100">
        <f>PWETO!F69+MITWABA!F69+KILWA!F69+KASENGA!F70</f>
        <v>7594</v>
      </c>
      <c r="G69" s="100">
        <f>PWETO!G69+MITWABA!G69+KILWA!G69+KASENGA!G70</f>
        <v>7833</v>
      </c>
      <c r="H69" s="100">
        <f>PWETO!H69+MITWABA!H69+KILWA!H69+KASENGA!H70</f>
        <v>6608</v>
      </c>
      <c r="I69" s="100">
        <f>PWETO!I69+MITWABA!I69+KILWA!I69+KASENGA!I70</f>
        <v>6841</v>
      </c>
      <c r="J69" s="100">
        <f>PWETO!J69+MITWABA!J69+KILWA!J69+KASENGA!J70</f>
        <v>5777</v>
      </c>
      <c r="K69" s="100">
        <f>PWETO!K69+MITWABA!K69+KILWA!K69+KASENGA!K70</f>
        <v>6205</v>
      </c>
      <c r="L69" s="100">
        <f>PWETO!L69+MITWABA!L69+KILWA!L69+KASENGA!L70</f>
        <v>5690</v>
      </c>
      <c r="M69" s="100">
        <f>PWETO!M69+MITWABA!M69+KILWA!M69+KASENGA!M70</f>
        <v>6398</v>
      </c>
      <c r="N69" s="100">
        <f>PWETO!N69+MITWABA!N69+KILWA!N69+KASENGA!N70</f>
        <v>4293</v>
      </c>
      <c r="O69" s="149">
        <f t="shared" ref="O69:O74" si="10">M69+K69+I69+G69+E69+C69</f>
        <v>47920</v>
      </c>
      <c r="P69" s="149">
        <f t="shared" ref="P69:P74" si="11">N69+L69+J69+H69+F69+D69</f>
        <v>39960</v>
      </c>
      <c r="Q69" s="149">
        <f t="shared" ref="Q69:Q74" si="12">O69+P69</f>
        <v>87880</v>
      </c>
    </row>
    <row r="70" spans="1:19" ht="16.2" thickBot="1" x14ac:dyDescent="0.35">
      <c r="A70" s="84">
        <v>3</v>
      </c>
      <c r="B70" s="102" t="s">
        <v>46</v>
      </c>
      <c r="C70" s="100">
        <f>PWETO!C70+MITWABA!C70+KILWA!C70+KASENGA!C71</f>
        <v>12238</v>
      </c>
      <c r="D70" s="100">
        <f>PWETO!D70+MITWABA!D70+KILWA!D70+KASENGA!D71</f>
        <v>11022</v>
      </c>
      <c r="E70" s="100">
        <f>PWETO!E70+MITWABA!E70+KILWA!E70+KASENGA!E71</f>
        <v>9885</v>
      </c>
      <c r="F70" s="100">
        <f>PWETO!F70+MITWABA!F70+KILWA!F70+KASENGA!F71</f>
        <v>8945</v>
      </c>
      <c r="G70" s="100">
        <f>PWETO!G70+MITWABA!G70+KILWA!G70+KASENGA!G71</f>
        <v>8979</v>
      </c>
      <c r="H70" s="100">
        <f>PWETO!H70+MITWABA!H70+KILWA!H70+KASENGA!H71</f>
        <v>8286</v>
      </c>
      <c r="I70" s="100">
        <f>PWETO!I70+MITWABA!I70+KILWA!I70+KASENGA!I71</f>
        <v>9866</v>
      </c>
      <c r="J70" s="100">
        <f>PWETO!J70+MITWABA!J70+KILWA!J70+KASENGA!J71</f>
        <v>7325</v>
      </c>
      <c r="K70" s="100">
        <f>PWETO!K70+MITWABA!K70+KILWA!K70+KASENGA!K71</f>
        <v>7748</v>
      </c>
      <c r="L70" s="100">
        <f>PWETO!L70+MITWABA!L70+KILWA!L70+KASENGA!L71</f>
        <v>6118</v>
      </c>
      <c r="M70" s="100">
        <f>PWETO!M70+MITWABA!M70+KILWA!M70+KASENGA!M71</f>
        <v>5313</v>
      </c>
      <c r="N70" s="100">
        <f>PWETO!N70+MITWABA!N70+KILWA!N70+KASENGA!N71</f>
        <v>4540</v>
      </c>
      <c r="O70" s="149">
        <f t="shared" si="10"/>
        <v>54029</v>
      </c>
      <c r="P70" s="149">
        <f t="shared" si="11"/>
        <v>46236</v>
      </c>
      <c r="Q70" s="149">
        <f t="shared" si="12"/>
        <v>100265</v>
      </c>
    </row>
    <row r="71" spans="1:19" ht="16.2" thickBot="1" x14ac:dyDescent="0.35">
      <c r="A71" s="84">
        <v>4</v>
      </c>
      <c r="B71" s="102" t="s">
        <v>47</v>
      </c>
      <c r="C71" s="100">
        <f>PWETO!C71+MITWABA!C71+KILWA!C71+KASENGA!C72</f>
        <v>464</v>
      </c>
      <c r="D71" s="100">
        <f>PWETO!D71+MITWABA!D71+KILWA!D71+KASENGA!D72</f>
        <v>449</v>
      </c>
      <c r="E71" s="100">
        <f>PWETO!E71+MITWABA!E71+KILWA!E71+KASENGA!E72</f>
        <v>442</v>
      </c>
      <c r="F71" s="100">
        <f>PWETO!F71+MITWABA!F71+KILWA!F71+KASENGA!F72</f>
        <v>375</v>
      </c>
      <c r="G71" s="100">
        <f>PWETO!G71+MITWABA!G71+KILWA!G71+KASENGA!G72</f>
        <v>429</v>
      </c>
      <c r="H71" s="100">
        <f>PWETO!H71+MITWABA!H71+KILWA!H71+KASENGA!H72</f>
        <v>371</v>
      </c>
      <c r="I71" s="100">
        <f>PWETO!I71+MITWABA!I71+KILWA!I71+KASENGA!I72</f>
        <v>333</v>
      </c>
      <c r="J71" s="100">
        <f>PWETO!J71+MITWABA!J71+KILWA!J71+KASENGA!J72</f>
        <v>266</v>
      </c>
      <c r="K71" s="100">
        <f>PWETO!K71+MITWABA!K71+KILWA!K71+KASENGA!K72</f>
        <v>312</v>
      </c>
      <c r="L71" s="100">
        <f>PWETO!L71+MITWABA!L71+KILWA!L71+KASENGA!L72</f>
        <v>234</v>
      </c>
      <c r="M71" s="100">
        <f>PWETO!M71+MITWABA!M71+KILWA!M71+KASENGA!M72</f>
        <v>227</v>
      </c>
      <c r="N71" s="100">
        <f>PWETO!N71+MITWABA!N71+KILWA!N71+KASENGA!N72</f>
        <v>213</v>
      </c>
      <c r="O71" s="149">
        <f t="shared" si="10"/>
        <v>2207</v>
      </c>
      <c r="P71" s="149">
        <f t="shared" si="11"/>
        <v>1908</v>
      </c>
      <c r="Q71" s="149">
        <f t="shared" si="12"/>
        <v>4115</v>
      </c>
    </row>
    <row r="72" spans="1:19" ht="16.2" thickBot="1" x14ac:dyDescent="0.35">
      <c r="A72" s="84">
        <v>5</v>
      </c>
      <c r="B72" s="102" t="s">
        <v>48</v>
      </c>
      <c r="C72" s="100">
        <f>PWETO!C72+MITWABA!C72+KILWA!C72+KASENGA!C73</f>
        <v>0</v>
      </c>
      <c r="D72" s="100">
        <f>PWETO!D72+MITWABA!D72+KILWA!D72+KASENGA!D73</f>
        <v>0</v>
      </c>
      <c r="E72" s="100">
        <f>PWETO!E72+MITWABA!E72+KILWA!E72+KASENGA!E73</f>
        <v>0</v>
      </c>
      <c r="F72" s="100">
        <f>PWETO!F72+MITWABA!F72+KILWA!F72+KASENGA!F73</f>
        <v>0</v>
      </c>
      <c r="G72" s="100">
        <f>PWETO!G72+MITWABA!G72+KILWA!G72+KASENGA!G73</f>
        <v>0</v>
      </c>
      <c r="H72" s="100">
        <f>PWETO!H72+MITWABA!H72+KILWA!H72+KASENGA!H73</f>
        <v>0</v>
      </c>
      <c r="I72" s="100">
        <f>PWETO!I72+MITWABA!I72+KILWA!I72+KASENGA!I73</f>
        <v>0</v>
      </c>
      <c r="J72" s="100">
        <f>PWETO!J72+MITWABA!J72+KILWA!J72+KASENGA!J73</f>
        <v>0</v>
      </c>
      <c r="K72" s="100">
        <f>PWETO!K72+MITWABA!K72+KILWA!K72+KASENGA!K73</f>
        <v>0</v>
      </c>
      <c r="L72" s="100">
        <f>PWETO!L72+MITWABA!L72+KILWA!L72+KASENGA!L73</f>
        <v>0</v>
      </c>
      <c r="M72" s="100">
        <f>PWETO!M72+MITWABA!M72+KILWA!M72+KASENGA!M73</f>
        <v>0</v>
      </c>
      <c r="N72" s="100">
        <f>PWETO!N72+MITWABA!N72+KILWA!N72+KASENGA!N73</f>
        <v>0</v>
      </c>
      <c r="O72" s="149">
        <f t="shared" si="10"/>
        <v>0</v>
      </c>
      <c r="P72" s="149">
        <f t="shared" si="11"/>
        <v>0</v>
      </c>
      <c r="Q72" s="149">
        <f t="shared" si="12"/>
        <v>0</v>
      </c>
    </row>
    <row r="73" spans="1:19" ht="16.2" thickBot="1" x14ac:dyDescent="0.35">
      <c r="A73" s="84">
        <v>6</v>
      </c>
      <c r="B73" s="102" t="s">
        <v>49</v>
      </c>
      <c r="C73" s="100">
        <f>PWETO!C73+MITWABA!C73+KILWA!C73+KASENGA!C74</f>
        <v>367</v>
      </c>
      <c r="D73" s="100">
        <f>PWETO!D73+MITWABA!D73+KILWA!D73+KASENGA!D74</f>
        <v>283</v>
      </c>
      <c r="E73" s="100">
        <f>PWETO!E73+MITWABA!E73+KILWA!E73+KASENGA!E74</f>
        <v>324</v>
      </c>
      <c r="F73" s="100">
        <f>PWETO!F73+MITWABA!F73+KILWA!F73+KASENGA!F74</f>
        <v>299</v>
      </c>
      <c r="G73" s="100">
        <f>PWETO!G73+MITWABA!G73+KILWA!G73+KASENGA!G74</f>
        <v>291</v>
      </c>
      <c r="H73" s="100">
        <f>PWETO!H73+MITWABA!H73+KILWA!H73+KASENGA!H74</f>
        <v>242</v>
      </c>
      <c r="I73" s="100">
        <f>PWETO!I73+MITWABA!I73+KILWA!I73+KASENGA!I74</f>
        <v>284</v>
      </c>
      <c r="J73" s="100">
        <f>PWETO!J73+MITWABA!J73+KILWA!J73+KASENGA!J74</f>
        <v>260</v>
      </c>
      <c r="K73" s="100">
        <f>PWETO!K73+MITWABA!K73+KILWA!K73+KASENGA!K74</f>
        <v>268</v>
      </c>
      <c r="L73" s="100">
        <f>PWETO!L73+MITWABA!L73+KILWA!L73+KASENGA!L74</f>
        <v>194</v>
      </c>
      <c r="M73" s="100">
        <f>PWETO!M73+MITWABA!M73+KILWA!M73+KASENGA!M74</f>
        <v>200</v>
      </c>
      <c r="N73" s="100">
        <f>PWETO!N73+MITWABA!N73+KILWA!N73+KASENGA!N74</f>
        <v>129</v>
      </c>
      <c r="O73" s="149">
        <f t="shared" si="10"/>
        <v>1734</v>
      </c>
      <c r="P73" s="149">
        <f t="shared" si="11"/>
        <v>1407</v>
      </c>
      <c r="Q73" s="149">
        <f t="shared" si="12"/>
        <v>3141</v>
      </c>
    </row>
    <row r="74" spans="1:19" ht="16.2" thickBot="1" x14ac:dyDescent="0.35">
      <c r="A74" s="84">
        <v>7</v>
      </c>
      <c r="B74" s="102" t="s">
        <v>50</v>
      </c>
      <c r="C74" s="100">
        <f>PWETO!C74+MITWABA!C74+KILWA!C74+KASENGA!C75</f>
        <v>217</v>
      </c>
      <c r="D74" s="100">
        <f>PWETO!D74+MITWABA!D74+KILWA!D74+KASENGA!D75</f>
        <v>230</v>
      </c>
      <c r="E74" s="100">
        <f>PWETO!E74+MITWABA!E74+KILWA!E74+KASENGA!E75</f>
        <v>177</v>
      </c>
      <c r="F74" s="100">
        <f>PWETO!F74+MITWABA!F74+KILWA!F74+KASENGA!F75</f>
        <v>238</v>
      </c>
      <c r="G74" s="100">
        <f>PWETO!G74+MITWABA!G74+KILWA!G74+KASENGA!G75</f>
        <v>177</v>
      </c>
      <c r="H74" s="100">
        <f>PWETO!H74+MITWABA!H74+KILWA!H74+KASENGA!H75</f>
        <v>186</v>
      </c>
      <c r="I74" s="100">
        <f>PWETO!I74+MITWABA!I74+KILWA!I74+KASENGA!I75</f>
        <v>157</v>
      </c>
      <c r="J74" s="100">
        <f>PWETO!J74+MITWABA!J74+KILWA!J74+KASENGA!J75</f>
        <v>170</v>
      </c>
      <c r="K74" s="100">
        <f>PWETO!K74+MITWABA!K74+KILWA!K74+KASENGA!K75</f>
        <v>117</v>
      </c>
      <c r="L74" s="100">
        <f>PWETO!L74+MITWABA!L74+KILWA!L74+KASENGA!L75</f>
        <v>139</v>
      </c>
      <c r="M74" s="100">
        <f>PWETO!M74+MITWABA!M74+KILWA!M74+KASENGA!M75</f>
        <v>138</v>
      </c>
      <c r="N74" s="100">
        <f>PWETO!N74+MITWABA!N74+KILWA!N74+KASENGA!N75</f>
        <v>125</v>
      </c>
      <c r="O74" s="149">
        <f t="shared" si="10"/>
        <v>983</v>
      </c>
      <c r="P74" s="149">
        <f t="shared" si="11"/>
        <v>1088</v>
      </c>
      <c r="Q74" s="149">
        <f t="shared" si="12"/>
        <v>2071</v>
      </c>
    </row>
    <row r="75" spans="1:19" ht="15.6" x14ac:dyDescent="0.3">
      <c r="A75" s="266" t="s">
        <v>10</v>
      </c>
      <c r="B75" s="266"/>
      <c r="C75" s="150">
        <f t="shared" ref="C75:M75" si="13">SUM(C68:C74)</f>
        <v>27153</v>
      </c>
      <c r="D75" s="150">
        <f t="shared" si="13"/>
        <v>24781</v>
      </c>
      <c r="E75" s="150">
        <f t="shared" si="13"/>
        <v>23014</v>
      </c>
      <c r="F75" s="150">
        <f t="shared" si="13"/>
        <v>19959</v>
      </c>
      <c r="G75" s="150">
        <f t="shared" si="13"/>
        <v>20032</v>
      </c>
      <c r="H75" s="150">
        <f t="shared" si="13"/>
        <v>17871</v>
      </c>
      <c r="I75" s="150">
        <f t="shared" si="13"/>
        <v>19614</v>
      </c>
      <c r="J75" s="150">
        <f t="shared" si="13"/>
        <v>15840</v>
      </c>
      <c r="K75" s="150">
        <f t="shared" si="13"/>
        <v>16905</v>
      </c>
      <c r="L75" s="150">
        <f t="shared" si="13"/>
        <v>14280</v>
      </c>
      <c r="M75" s="150">
        <f t="shared" si="13"/>
        <v>13581</v>
      </c>
      <c r="N75" s="150">
        <f>SUM(N68:N74)</f>
        <v>10513</v>
      </c>
      <c r="O75" s="150">
        <f>SUM(O68:O74)</f>
        <v>120299</v>
      </c>
      <c r="P75" s="150">
        <f>SUM(P68:P74)</f>
        <v>103244</v>
      </c>
      <c r="Q75" s="150">
        <f>SUM(Q68:Q74)</f>
        <v>223543</v>
      </c>
    </row>
    <row r="76" spans="1:19" x14ac:dyDescent="0.3">
      <c r="A76" s="1"/>
    </row>
    <row r="77" spans="1:19" ht="18" x14ac:dyDescent="0.3">
      <c r="A77" s="96" t="s">
        <v>31</v>
      </c>
    </row>
    <row r="78" spans="1:19" ht="62.4" x14ac:dyDescent="0.3">
      <c r="A78" s="88" t="s">
        <v>6</v>
      </c>
      <c r="B78" s="88" t="s">
        <v>18</v>
      </c>
      <c r="C78" s="259" t="s">
        <v>64</v>
      </c>
      <c r="D78" s="259"/>
      <c r="E78" s="259" t="s">
        <v>63</v>
      </c>
      <c r="F78" s="259"/>
      <c r="G78" s="259" t="s">
        <v>66</v>
      </c>
      <c r="H78" s="259"/>
      <c r="I78" s="259" t="s">
        <v>61</v>
      </c>
      <c r="J78" s="259"/>
      <c r="K78" s="263" t="s">
        <v>71</v>
      </c>
      <c r="L78" s="264"/>
      <c r="M78" s="265"/>
    </row>
    <row r="79" spans="1:19" ht="15.6" x14ac:dyDescent="0.3">
      <c r="A79" s="91"/>
      <c r="B79" s="82"/>
      <c r="C79" s="148" t="s">
        <v>43</v>
      </c>
      <c r="D79" s="148" t="s">
        <v>30</v>
      </c>
      <c r="E79" s="148" t="s">
        <v>43</v>
      </c>
      <c r="F79" s="148" t="s">
        <v>30</v>
      </c>
      <c r="G79" s="148" t="s">
        <v>43</v>
      </c>
      <c r="H79" s="148" t="s">
        <v>30</v>
      </c>
      <c r="I79" s="148" t="s">
        <v>43</v>
      </c>
      <c r="J79" s="148" t="s">
        <v>30</v>
      </c>
      <c r="K79" s="148" t="s">
        <v>43</v>
      </c>
      <c r="L79" s="148" t="s">
        <v>30</v>
      </c>
      <c r="M79" s="148" t="s">
        <v>67</v>
      </c>
    </row>
    <row r="80" spans="1:19" ht="15.6" x14ac:dyDescent="0.3">
      <c r="A80" s="84">
        <v>1</v>
      </c>
      <c r="B80" s="109" t="s">
        <v>44</v>
      </c>
      <c r="C80" s="149">
        <f>PWETO!C80+MITWABA!C80+KILWA!C80+KASENGA!C81</f>
        <v>0</v>
      </c>
      <c r="D80" s="149">
        <f>PWETO!D80+MITWABA!D80+KILWA!D80+KASENGA!D81</f>
        <v>0</v>
      </c>
      <c r="E80" s="149">
        <f>PWETO!E80+MITWABA!E80+KILWA!E80+KASENGA!E81</f>
        <v>0</v>
      </c>
      <c r="F80" s="149">
        <f>PWETO!F80+MITWABA!F80+KILWA!F80+KASENGA!F81</f>
        <v>0</v>
      </c>
      <c r="G80" s="149">
        <f>PWETO!G80+MITWABA!G80+KILWA!G80+KASENGA!G81</f>
        <v>534</v>
      </c>
      <c r="H80" s="149">
        <f>PWETO!H80+MITWABA!H80+KILWA!H80+KASENGA!H81</f>
        <v>116</v>
      </c>
      <c r="I80" s="149">
        <f>PWETO!I80+MITWABA!I80+KILWA!I80+KASENGA!I81</f>
        <v>0</v>
      </c>
      <c r="J80" s="149">
        <f>PWETO!J80+MITWABA!J80+KILWA!J80+KASENGA!J81</f>
        <v>0</v>
      </c>
      <c r="K80" s="149">
        <f>+I80+G80+E80+C80</f>
        <v>534</v>
      </c>
      <c r="L80" s="149">
        <f>+J80+H80+F80+D80</f>
        <v>116</v>
      </c>
      <c r="M80" s="149">
        <f>L80+K80</f>
        <v>650</v>
      </c>
    </row>
    <row r="81" spans="1:13" ht="16.2" thickBot="1" x14ac:dyDescent="0.35">
      <c r="A81" s="84">
        <v>2</v>
      </c>
      <c r="B81" s="97" t="s">
        <v>45</v>
      </c>
      <c r="C81" s="149">
        <f>PWETO!C81+MITWABA!C81+KILWA!C81+KASENGA!C82</f>
        <v>0</v>
      </c>
      <c r="D81" s="149">
        <f>PWETO!D81+MITWABA!D81+KILWA!D81+KASENGA!D82</f>
        <v>0</v>
      </c>
      <c r="E81" s="149">
        <f>PWETO!E81+MITWABA!E81+KILWA!E81+KASENGA!E82</f>
        <v>0</v>
      </c>
      <c r="F81" s="149">
        <f>PWETO!F81+MITWABA!F81+KILWA!F81+KASENGA!F82</f>
        <v>0</v>
      </c>
      <c r="G81" s="149">
        <f>PWETO!G81+MITWABA!G81+KILWA!G81+KASENGA!G82</f>
        <v>1667</v>
      </c>
      <c r="H81" s="149">
        <f>PWETO!H81+MITWABA!H81+KILWA!H81+KASENGA!H82</f>
        <v>331</v>
      </c>
      <c r="I81" s="149">
        <f>PWETO!I81+MITWABA!I81+KILWA!I81+KASENGA!I82</f>
        <v>0</v>
      </c>
      <c r="J81" s="149">
        <f>PWETO!J81+MITWABA!J81+KILWA!J81+KASENGA!J82</f>
        <v>0</v>
      </c>
      <c r="K81" s="149">
        <f t="shared" ref="K81:K86" si="14">+I81+G81+E81+C81</f>
        <v>1667</v>
      </c>
      <c r="L81" s="149">
        <f t="shared" ref="L81:L86" si="15">+J81+H81+F81+D81</f>
        <v>331</v>
      </c>
      <c r="M81" s="149">
        <f t="shared" ref="M81:M86" si="16">L81+K81</f>
        <v>1998</v>
      </c>
    </row>
    <row r="82" spans="1:13" ht="16.2" thickBot="1" x14ac:dyDescent="0.35">
      <c r="A82" s="84">
        <v>3</v>
      </c>
      <c r="B82" s="97" t="s">
        <v>46</v>
      </c>
      <c r="C82" s="149">
        <f>PWETO!C82+MITWABA!C82+KILWA!C82+KASENGA!C83</f>
        <v>0</v>
      </c>
      <c r="D82" s="149">
        <f>PWETO!D82+MITWABA!D82+KILWA!D82+KASENGA!D83</f>
        <v>0</v>
      </c>
      <c r="E82" s="149">
        <f>PWETO!E82+MITWABA!E82+KILWA!E82+KASENGA!E83</f>
        <v>0</v>
      </c>
      <c r="F82" s="149">
        <f>PWETO!F82+MITWABA!F82+KILWA!F82+KASENGA!F83</f>
        <v>0</v>
      </c>
      <c r="G82" s="149">
        <f>PWETO!G82+MITWABA!G82+KILWA!G82+KASENGA!G83</f>
        <v>1424</v>
      </c>
      <c r="H82" s="149">
        <f>PWETO!H82+MITWABA!H82+KILWA!H82+KASENGA!H83</f>
        <v>434</v>
      </c>
      <c r="I82" s="149">
        <f>PWETO!I82+MITWABA!I82+KILWA!I82+KASENGA!I83</f>
        <v>0</v>
      </c>
      <c r="J82" s="149">
        <f>PWETO!J82+MITWABA!J82+KILWA!J82+KASENGA!J83</f>
        <v>0</v>
      </c>
      <c r="K82" s="149">
        <f t="shared" si="14"/>
        <v>1424</v>
      </c>
      <c r="L82" s="149">
        <f t="shared" si="15"/>
        <v>434</v>
      </c>
      <c r="M82" s="149">
        <f t="shared" si="16"/>
        <v>1858</v>
      </c>
    </row>
    <row r="83" spans="1:13" ht="16.2" thickBot="1" x14ac:dyDescent="0.35">
      <c r="A83" s="84">
        <v>4</v>
      </c>
      <c r="B83" s="97" t="s">
        <v>47</v>
      </c>
      <c r="C83" s="149">
        <f>PWETO!C83+MITWABA!C83+KILWA!C83+KASENGA!C84</f>
        <v>0</v>
      </c>
      <c r="D83" s="149">
        <f>PWETO!D83+MITWABA!D83+KILWA!D83+KASENGA!D84</f>
        <v>0</v>
      </c>
      <c r="E83" s="149">
        <f>PWETO!E83+MITWABA!E83+KILWA!E83+KASENGA!E84</f>
        <v>0</v>
      </c>
      <c r="F83" s="149">
        <f>PWETO!F83+MITWABA!F83+KILWA!F83+KASENGA!F84</f>
        <v>0</v>
      </c>
      <c r="G83" s="149">
        <f>PWETO!G83+MITWABA!G83+KILWA!G83+KASENGA!G84</f>
        <v>91</v>
      </c>
      <c r="H83" s="149">
        <f>PWETO!H83+MITWABA!H83+KILWA!H83+KASENGA!H84</f>
        <v>17</v>
      </c>
      <c r="I83" s="149">
        <f>PWETO!I83+MITWABA!I83+KILWA!I83+KASENGA!I84</f>
        <v>0</v>
      </c>
      <c r="J83" s="149">
        <f>PWETO!J83+MITWABA!J83+KILWA!J83+KASENGA!J84</f>
        <v>0</v>
      </c>
      <c r="K83" s="149">
        <f t="shared" si="14"/>
        <v>91</v>
      </c>
      <c r="L83" s="149">
        <f t="shared" si="15"/>
        <v>17</v>
      </c>
      <c r="M83" s="149">
        <f t="shared" si="16"/>
        <v>108</v>
      </c>
    </row>
    <row r="84" spans="1:13" ht="16.2" thickBot="1" x14ac:dyDescent="0.35">
      <c r="A84" s="84">
        <v>5</v>
      </c>
      <c r="B84" s="97" t="s">
        <v>48</v>
      </c>
      <c r="C84" s="149">
        <f>PWETO!C84+MITWABA!C84+KILWA!C84+KASENGA!C85</f>
        <v>0</v>
      </c>
      <c r="D84" s="149">
        <f>PWETO!D84+MITWABA!D84+KILWA!D84+KASENGA!D85</f>
        <v>0</v>
      </c>
      <c r="E84" s="149">
        <f>PWETO!E84+MITWABA!E84+KILWA!E84+KASENGA!E85</f>
        <v>0</v>
      </c>
      <c r="F84" s="149">
        <f>PWETO!F84+MITWABA!F84+KILWA!F84+KASENGA!F85</f>
        <v>0</v>
      </c>
      <c r="G84" s="149">
        <f>PWETO!G84+MITWABA!G84+KILWA!G84+KASENGA!G85</f>
        <v>0</v>
      </c>
      <c r="H84" s="149">
        <f>PWETO!H84+MITWABA!H84+KILWA!H84+KASENGA!H85</f>
        <v>0</v>
      </c>
      <c r="I84" s="149">
        <f>PWETO!I84+MITWABA!I84+KILWA!I84+KASENGA!I85</f>
        <v>0</v>
      </c>
      <c r="J84" s="149">
        <f>PWETO!J84+MITWABA!J84+KILWA!J84+KASENGA!J85</f>
        <v>0</v>
      </c>
      <c r="K84" s="149">
        <f t="shared" si="14"/>
        <v>0</v>
      </c>
      <c r="L84" s="149">
        <f t="shared" si="15"/>
        <v>0</v>
      </c>
      <c r="M84" s="149">
        <f t="shared" si="16"/>
        <v>0</v>
      </c>
    </row>
    <row r="85" spans="1:13" ht="16.2" thickBot="1" x14ac:dyDescent="0.35">
      <c r="A85" s="84">
        <v>6</v>
      </c>
      <c r="B85" s="97" t="s">
        <v>49</v>
      </c>
      <c r="C85" s="149">
        <f>PWETO!C85+MITWABA!C85+KILWA!C85+KASENGA!C86</f>
        <v>0</v>
      </c>
      <c r="D85" s="149">
        <f>PWETO!D85+MITWABA!D85+KILWA!D85+KASENGA!D86</f>
        <v>0</v>
      </c>
      <c r="E85" s="149">
        <f>PWETO!E85+MITWABA!E85+KILWA!E85+KASENGA!E86</f>
        <v>0</v>
      </c>
      <c r="F85" s="149">
        <f>PWETO!F85+MITWABA!F85+KILWA!F85+KASENGA!F86</f>
        <v>0</v>
      </c>
      <c r="G85" s="149">
        <f>PWETO!G85+MITWABA!G85+KILWA!G85+KASENGA!G86</f>
        <v>36</v>
      </c>
      <c r="H85" s="149">
        <f>PWETO!H85+MITWABA!H85+KILWA!H85+KASENGA!H86</f>
        <v>20</v>
      </c>
      <c r="I85" s="149">
        <f>PWETO!I85+MITWABA!I85+KILWA!I85+KASENGA!I86</f>
        <v>0</v>
      </c>
      <c r="J85" s="149">
        <f>PWETO!J85+MITWABA!J85+KILWA!J85+KASENGA!J86</f>
        <v>0</v>
      </c>
      <c r="K85" s="149">
        <f t="shared" si="14"/>
        <v>36</v>
      </c>
      <c r="L85" s="149">
        <f t="shared" si="15"/>
        <v>20</v>
      </c>
      <c r="M85" s="149">
        <f t="shared" si="16"/>
        <v>56</v>
      </c>
    </row>
    <row r="86" spans="1:13" ht="16.2" thickBot="1" x14ac:dyDescent="0.35">
      <c r="A86" s="84">
        <v>7</v>
      </c>
      <c r="B86" s="97" t="s">
        <v>50</v>
      </c>
      <c r="C86" s="149">
        <f>PWETO!C86+MITWABA!C86+KILWA!C86+KASENGA!C87</f>
        <v>0</v>
      </c>
      <c r="D86" s="149">
        <f>PWETO!D86+MITWABA!D86+KILWA!D86+KASENGA!D87</f>
        <v>0</v>
      </c>
      <c r="E86" s="149">
        <f>PWETO!E86+MITWABA!E86+KILWA!E86+KASENGA!E87</f>
        <v>0</v>
      </c>
      <c r="F86" s="149">
        <f>PWETO!F86+MITWABA!F86+KILWA!F86+KASENGA!F87</f>
        <v>0</v>
      </c>
      <c r="G86" s="149">
        <f>PWETO!G86+MITWABA!G86+KILWA!G86+KASENGA!G87</f>
        <v>38</v>
      </c>
      <c r="H86" s="149">
        <f>PWETO!H86+MITWABA!H86+KILWA!H86+KASENGA!H87</f>
        <v>24</v>
      </c>
      <c r="I86" s="149">
        <f>PWETO!I86+MITWABA!I86+KILWA!I86+KASENGA!I87</f>
        <v>0</v>
      </c>
      <c r="J86" s="149">
        <f>PWETO!J86+MITWABA!J86+KILWA!J86+KASENGA!J87</f>
        <v>0</v>
      </c>
      <c r="K86" s="149">
        <f t="shared" si="14"/>
        <v>38</v>
      </c>
      <c r="L86" s="149">
        <f t="shared" si="15"/>
        <v>24</v>
      </c>
      <c r="M86" s="149">
        <f t="shared" si="16"/>
        <v>62</v>
      </c>
    </row>
    <row r="87" spans="1:13" ht="15.6" x14ac:dyDescent="0.3">
      <c r="A87" s="266" t="s">
        <v>10</v>
      </c>
      <c r="B87" s="266"/>
      <c r="C87" s="150">
        <f>SUM(C80:C86)</f>
        <v>0</v>
      </c>
      <c r="D87" s="150">
        <f t="shared" ref="D87:M87" si="17">SUM(D80:D86)</f>
        <v>0</v>
      </c>
      <c r="E87" s="150">
        <f t="shared" si="17"/>
        <v>0</v>
      </c>
      <c r="F87" s="150">
        <f t="shared" si="17"/>
        <v>0</v>
      </c>
      <c r="G87" s="150">
        <f t="shared" si="17"/>
        <v>3790</v>
      </c>
      <c r="H87" s="150">
        <f t="shared" si="17"/>
        <v>942</v>
      </c>
      <c r="I87" s="150">
        <f t="shared" si="17"/>
        <v>0</v>
      </c>
      <c r="J87" s="150">
        <f t="shared" si="17"/>
        <v>0</v>
      </c>
      <c r="K87" s="150">
        <f t="shared" si="17"/>
        <v>3790</v>
      </c>
      <c r="L87" s="150">
        <f t="shared" si="17"/>
        <v>942</v>
      </c>
      <c r="M87" s="150">
        <f t="shared" si="17"/>
        <v>4732</v>
      </c>
    </row>
    <row r="88" spans="1:13" x14ac:dyDescent="0.3">
      <c r="A88" s="1"/>
    </row>
    <row r="89" spans="1:13" x14ac:dyDescent="0.3">
      <c r="A89" s="1"/>
    </row>
    <row r="90" spans="1:13" ht="16.8" customHeight="1" x14ac:dyDescent="0.3">
      <c r="A90" s="96" t="s">
        <v>32</v>
      </c>
    </row>
    <row r="91" spans="1:13" ht="33" customHeight="1" thickBot="1" x14ac:dyDescent="0.35">
      <c r="A91" s="96" t="s">
        <v>33</v>
      </c>
    </row>
    <row r="92" spans="1:13" ht="62.4" x14ac:dyDescent="0.3">
      <c r="A92" s="98" t="s">
        <v>6</v>
      </c>
      <c r="B92" s="99" t="s">
        <v>41</v>
      </c>
      <c r="C92" s="98" t="s">
        <v>94</v>
      </c>
      <c r="D92" s="99" t="s">
        <v>42</v>
      </c>
      <c r="E92" s="98" t="s">
        <v>95</v>
      </c>
      <c r="F92" s="98" t="s">
        <v>96</v>
      </c>
      <c r="G92" s="98" t="s">
        <v>97</v>
      </c>
      <c r="H92" s="98" t="s">
        <v>98</v>
      </c>
      <c r="I92" s="98" t="s">
        <v>10</v>
      </c>
    </row>
    <row r="93" spans="1:13" ht="16.2" thickBot="1" x14ac:dyDescent="0.35">
      <c r="A93" s="86">
        <v>1</v>
      </c>
      <c r="B93" s="83" t="s">
        <v>44</v>
      </c>
      <c r="C93" s="29">
        <f>PWETO!C93+MITWABA!C93+KILWA!C93+KASENGA!C94</f>
        <v>64</v>
      </c>
      <c r="D93" s="29">
        <f>PWETO!D93+MITWABA!D93+KILWA!D93+KASENGA!D94</f>
        <v>64</v>
      </c>
      <c r="E93" s="29">
        <f>PWETO!E93+MITWABA!E93+KILWA!E93+KASENGA!E94</f>
        <v>67</v>
      </c>
      <c r="F93" s="29">
        <f>PWETO!F93+MITWABA!F93+KILWA!F93+KASENGA!F94</f>
        <v>62</v>
      </c>
      <c r="G93" s="29">
        <f>PWETO!G93+MITWABA!G93+KILWA!G93+KASENGA!G94</f>
        <v>60</v>
      </c>
      <c r="H93" s="29">
        <f>PWETO!H93+MITWABA!H93+KILWA!H93+KASENGA!H94</f>
        <v>51</v>
      </c>
      <c r="I93" s="100">
        <f>SUM(C93:H93)</f>
        <v>368</v>
      </c>
    </row>
    <row r="94" spans="1:13" ht="16.2" thickBot="1" x14ac:dyDescent="0.35">
      <c r="A94" s="86">
        <v>2</v>
      </c>
      <c r="B94" s="97" t="s">
        <v>45</v>
      </c>
      <c r="C94" s="29">
        <f>PWETO!C94+MITWABA!C94+KILWA!C94+KASENGA!C95</f>
        <v>123</v>
      </c>
      <c r="D94" s="29">
        <f>PWETO!D94+MITWABA!D94+KILWA!D94+KASENGA!D95</f>
        <v>120</v>
      </c>
      <c r="E94" s="29">
        <f>PWETO!E94+MITWABA!E94+KILWA!E94+KASENGA!E95</f>
        <v>127</v>
      </c>
      <c r="F94" s="29">
        <f>PWETO!F94+MITWABA!F94+KILWA!F94+KASENGA!F95</f>
        <v>126</v>
      </c>
      <c r="G94" s="29">
        <f>PWETO!G94+MITWABA!G94+KILWA!G94+KASENGA!G95</f>
        <v>113</v>
      </c>
      <c r="H94" s="29">
        <f>PWETO!H94+MITWABA!H94+KILWA!H94+KASENGA!H95</f>
        <v>103</v>
      </c>
      <c r="I94" s="100">
        <f t="shared" ref="I94:I99" si="18">SUM(C94:H94)</f>
        <v>712</v>
      </c>
    </row>
    <row r="95" spans="1:13" ht="16.2" thickBot="1" x14ac:dyDescent="0.35">
      <c r="A95" s="86">
        <v>3</v>
      </c>
      <c r="B95" s="97" t="s">
        <v>46</v>
      </c>
      <c r="C95" s="29">
        <f>PWETO!C95+MITWABA!C95+KILWA!C95+KASENGA!C96</f>
        <v>150</v>
      </c>
      <c r="D95" s="29">
        <f>PWETO!D95+MITWABA!D95+KILWA!D95+KASENGA!D96</f>
        <v>147</v>
      </c>
      <c r="E95" s="29">
        <f>PWETO!E95+MITWABA!E95+KILWA!E95+KASENGA!E96</f>
        <v>165</v>
      </c>
      <c r="F95" s="29">
        <f>PWETO!F95+MITWABA!F95+KILWA!F95+KASENGA!F96</f>
        <v>157</v>
      </c>
      <c r="G95" s="29">
        <f>PWETO!G95+MITWABA!G95+KILWA!G95+KASENGA!G96</f>
        <v>157</v>
      </c>
      <c r="H95" s="29">
        <f>PWETO!H95+MITWABA!H95+KILWA!H95+KASENGA!H96</f>
        <v>137</v>
      </c>
      <c r="I95" s="100">
        <f t="shared" si="18"/>
        <v>913</v>
      </c>
    </row>
    <row r="96" spans="1:13" ht="16.2" thickBot="1" x14ac:dyDescent="0.35">
      <c r="A96" s="86">
        <v>4</v>
      </c>
      <c r="B96" s="97" t="s">
        <v>47</v>
      </c>
      <c r="C96" s="29">
        <f>PWETO!C96+MITWABA!C96+KILWA!C96+KASENGA!C97</f>
        <v>7</v>
      </c>
      <c r="D96" s="29">
        <f>PWETO!D96+MITWABA!D96+KILWA!D96+KASENGA!D97</f>
        <v>7</v>
      </c>
      <c r="E96" s="29">
        <f>PWETO!E96+MITWABA!E96+KILWA!E96+KASENGA!E97</f>
        <v>7</v>
      </c>
      <c r="F96" s="29">
        <f>PWETO!F96+MITWABA!F96+KILWA!F96+KASENGA!F97</f>
        <v>6</v>
      </c>
      <c r="G96" s="29">
        <f>PWETO!G96+MITWABA!G96+KILWA!G96+KASENGA!G97</f>
        <v>6</v>
      </c>
      <c r="H96" s="29">
        <f>PWETO!H96+MITWABA!H96+KILWA!H96+KASENGA!H97</f>
        <v>3</v>
      </c>
      <c r="I96" s="100">
        <f t="shared" si="18"/>
        <v>36</v>
      </c>
    </row>
    <row r="97" spans="1:18" ht="16.2" thickBot="1" x14ac:dyDescent="0.35">
      <c r="A97" s="86">
        <v>5</v>
      </c>
      <c r="B97" s="97" t="s">
        <v>48</v>
      </c>
      <c r="C97" s="29">
        <f>PWETO!C97+MITWABA!C97+KILWA!C97+KASENGA!C98</f>
        <v>1</v>
      </c>
      <c r="D97" s="29">
        <f>PWETO!D97+MITWABA!D97+KILWA!D97+KASENGA!D98</f>
        <v>1</v>
      </c>
      <c r="E97" s="29">
        <f>PWETO!E97+MITWABA!E97+KILWA!E97+KASENGA!E98</f>
        <v>1</v>
      </c>
      <c r="F97" s="29">
        <f>PWETO!F97+MITWABA!F97+KILWA!F97+KASENGA!F98</f>
        <v>0</v>
      </c>
      <c r="G97" s="29">
        <f>PWETO!G97+MITWABA!G97+KILWA!G97+KASENGA!G98</f>
        <v>0</v>
      </c>
      <c r="H97" s="29">
        <f>PWETO!H97+MITWABA!H97+KILWA!H97+KASENGA!H98</f>
        <v>0</v>
      </c>
      <c r="I97" s="100">
        <f t="shared" si="18"/>
        <v>3</v>
      </c>
    </row>
    <row r="98" spans="1:18" ht="16.2" thickBot="1" x14ac:dyDescent="0.35">
      <c r="A98" s="86">
        <v>6</v>
      </c>
      <c r="B98" s="97" t="s">
        <v>49</v>
      </c>
      <c r="C98" s="29">
        <f>PWETO!C98+MITWABA!C98+KILWA!C98+KASENGA!C99</f>
        <v>10</v>
      </c>
      <c r="D98" s="29">
        <f>PWETO!D98+MITWABA!D98+KILWA!D98+KASENGA!D99</f>
        <v>10</v>
      </c>
      <c r="E98" s="29">
        <f>PWETO!E98+MITWABA!E98+KILWA!E98+KASENGA!E99</f>
        <v>10</v>
      </c>
      <c r="F98" s="29">
        <f>PWETO!F98+MITWABA!F98+KILWA!F98+KASENGA!F99</f>
        <v>11</v>
      </c>
      <c r="G98" s="29">
        <f>PWETO!G98+MITWABA!G98+KILWA!G98+KASENGA!G99</f>
        <v>10</v>
      </c>
      <c r="H98" s="29">
        <f>PWETO!H98+MITWABA!H98+KILWA!H98+KASENGA!H99</f>
        <v>9</v>
      </c>
      <c r="I98" s="100">
        <f t="shared" si="18"/>
        <v>60</v>
      </c>
    </row>
    <row r="99" spans="1:18" ht="16.2" thickBot="1" x14ac:dyDescent="0.35">
      <c r="A99" s="86">
        <v>7</v>
      </c>
      <c r="B99" s="97" t="s">
        <v>50</v>
      </c>
      <c r="C99" s="29">
        <f>PWETO!C99+MITWABA!C99+KILWA!C99+KASENGA!C100</f>
        <v>7</v>
      </c>
      <c r="D99" s="29">
        <f>PWETO!D99+MITWABA!D99+KILWA!D99+KASENGA!D100</f>
        <v>6</v>
      </c>
      <c r="E99" s="29">
        <f>PWETO!E99+MITWABA!E99+KILWA!E99+KASENGA!E100</f>
        <v>12</v>
      </c>
      <c r="F99" s="29">
        <f>PWETO!F99+MITWABA!F99+KILWA!F99+KASENGA!F100</f>
        <v>10</v>
      </c>
      <c r="G99" s="29">
        <f>PWETO!G99+MITWABA!G99+KILWA!G99+KASENGA!G100</f>
        <v>8</v>
      </c>
      <c r="H99" s="29">
        <f>PWETO!H99+MITWABA!H99+KILWA!H99+KASENGA!H100</f>
        <v>5</v>
      </c>
      <c r="I99" s="100">
        <f t="shared" si="18"/>
        <v>48</v>
      </c>
    </row>
    <row r="100" spans="1:18" ht="16.2" thickBot="1" x14ac:dyDescent="0.35">
      <c r="A100" s="260" t="s">
        <v>10</v>
      </c>
      <c r="B100" s="267"/>
      <c r="C100" s="155">
        <f t="shared" ref="C100:I100" si="19">SUM(C93:C99)</f>
        <v>362</v>
      </c>
      <c r="D100" s="155">
        <f t="shared" si="19"/>
        <v>355</v>
      </c>
      <c r="E100" s="155">
        <f t="shared" si="19"/>
        <v>389</v>
      </c>
      <c r="F100" s="155">
        <f t="shared" si="19"/>
        <v>372</v>
      </c>
      <c r="G100" s="155">
        <f t="shared" si="19"/>
        <v>354</v>
      </c>
      <c r="H100" s="155">
        <f t="shared" si="19"/>
        <v>308</v>
      </c>
      <c r="I100" s="155">
        <f t="shared" si="19"/>
        <v>2140</v>
      </c>
    </row>
    <row r="101" spans="1:18" x14ac:dyDescent="0.3">
      <c r="A101" s="1"/>
    </row>
    <row r="102" spans="1:18" ht="18" x14ac:dyDescent="0.3">
      <c r="A102" s="96" t="s">
        <v>37</v>
      </c>
    </row>
    <row r="103" spans="1:18" ht="15" thickBot="1" x14ac:dyDescent="0.35">
      <c r="A103" s="1"/>
    </row>
    <row r="104" spans="1:18" ht="62.4" x14ac:dyDescent="0.3">
      <c r="A104" s="87" t="s">
        <v>6</v>
      </c>
      <c r="B104" s="88" t="s">
        <v>18</v>
      </c>
      <c r="C104" s="259" t="s">
        <v>94</v>
      </c>
      <c r="D104" s="259"/>
      <c r="E104" s="259" t="s">
        <v>42</v>
      </c>
      <c r="F104" s="259"/>
      <c r="G104" s="259" t="s">
        <v>95</v>
      </c>
      <c r="H104" s="259"/>
      <c r="I104" s="259" t="s">
        <v>96</v>
      </c>
      <c r="J104" s="259"/>
      <c r="K104" s="259" t="s">
        <v>97</v>
      </c>
      <c r="L104" s="259"/>
      <c r="M104" s="259" t="s">
        <v>98</v>
      </c>
      <c r="N104" s="259"/>
      <c r="O104" s="259" t="s">
        <v>10</v>
      </c>
      <c r="P104" s="259"/>
      <c r="Q104" s="259"/>
    </row>
    <row r="105" spans="1:18" ht="16.2" thickBot="1" x14ac:dyDescent="0.35">
      <c r="A105" s="90"/>
      <c r="B105" s="91"/>
      <c r="C105" s="157" t="s">
        <v>29</v>
      </c>
      <c r="D105" s="157" t="s">
        <v>30</v>
      </c>
      <c r="E105" s="157" t="s">
        <v>29</v>
      </c>
      <c r="F105" s="157" t="s">
        <v>30</v>
      </c>
      <c r="G105" s="157" t="s">
        <v>29</v>
      </c>
      <c r="H105" s="157" t="s">
        <v>30</v>
      </c>
      <c r="I105" s="157" t="s">
        <v>29</v>
      </c>
      <c r="J105" s="157" t="s">
        <v>30</v>
      </c>
      <c r="K105" s="157" t="s">
        <v>29</v>
      </c>
      <c r="L105" s="157" t="s">
        <v>30</v>
      </c>
      <c r="M105" s="157" t="s">
        <v>29</v>
      </c>
      <c r="N105" s="157" t="s">
        <v>30</v>
      </c>
      <c r="O105" s="157" t="s">
        <v>29</v>
      </c>
      <c r="P105" s="157" t="s">
        <v>30</v>
      </c>
      <c r="Q105" s="157" t="s">
        <v>62</v>
      </c>
    </row>
    <row r="106" spans="1:18" ht="16.2" thickBot="1" x14ac:dyDescent="0.35">
      <c r="A106" s="85">
        <v>1</v>
      </c>
      <c r="B106" s="94" t="s">
        <v>44</v>
      </c>
      <c r="C106" s="29">
        <f>PWETO!C106+MITWABA!C106+KILWA!C106+KASENGA!C107</f>
        <v>1426</v>
      </c>
      <c r="D106" s="29">
        <f>PWETO!D106+MITWABA!D106+KILWA!D106+KASENGA!D107</f>
        <v>1037</v>
      </c>
      <c r="E106" s="29">
        <f>PWETO!E106+MITWABA!E106+KILWA!E106+KASENGA!E107</f>
        <v>1355</v>
      </c>
      <c r="F106" s="29">
        <f>PWETO!F106+MITWABA!F106+KILWA!F106+KASENGA!F107</f>
        <v>823</v>
      </c>
      <c r="G106" s="29">
        <f>PWETO!G106+MITWABA!G106+KILWA!G106+KASENGA!G107</f>
        <v>856</v>
      </c>
      <c r="H106" s="29">
        <f>PWETO!H106+MITWABA!H106+KILWA!H106+KASENGA!H107</f>
        <v>609</v>
      </c>
      <c r="I106" s="29">
        <f>PWETO!I106+MITWABA!I106+KILWA!I106+KASENGA!I107</f>
        <v>699</v>
      </c>
      <c r="J106" s="29">
        <f>PWETO!J106+MITWABA!J106+KILWA!J106+KASENGA!J107</f>
        <v>442</v>
      </c>
      <c r="K106" s="29">
        <f>PWETO!K106+MITWABA!K106+KILWA!K106+KASENGA!K107</f>
        <v>661</v>
      </c>
      <c r="L106" s="29">
        <f>PWETO!L106+MITWABA!L106+KILWA!L106+KASENGA!L107</f>
        <v>357</v>
      </c>
      <c r="M106" s="29">
        <f>PWETO!M106+MITWABA!M106+KILWA!M106+KASENGA!M107</f>
        <v>519</v>
      </c>
      <c r="N106" s="29">
        <f>PWETO!N106+MITWABA!N106+KILWA!N106+KASENGA!N107</f>
        <v>290</v>
      </c>
      <c r="O106" s="29">
        <f>PWETO!O106+MITWABA!O106+KILWA!O106+KASENGA!O107</f>
        <v>5516</v>
      </c>
      <c r="P106" s="29">
        <f>PWETO!P106+MITWABA!P106+KILWA!P106+KASENGA!P107</f>
        <v>3558</v>
      </c>
      <c r="Q106" s="29">
        <f>PWETO!Q106+MITWABA!Q106+KILWA!Q106+KASENGA!Q107</f>
        <v>9074</v>
      </c>
    </row>
    <row r="107" spans="1:18" ht="16.2" thickBot="1" x14ac:dyDescent="0.35">
      <c r="A107" s="85">
        <v>2</v>
      </c>
      <c r="B107" s="94" t="s">
        <v>45</v>
      </c>
      <c r="C107" s="29">
        <f>PWETO!C107+MITWABA!C107+KILWA!C107+KASENGA!C108</f>
        <v>2597</v>
      </c>
      <c r="D107" s="29">
        <f>PWETO!D107+MITWABA!D107+KILWA!D107+KASENGA!D108</f>
        <v>1954</v>
      </c>
      <c r="E107" s="29">
        <f>PWETO!E107+MITWABA!E107+KILWA!E107+KASENGA!E108</f>
        <v>2205</v>
      </c>
      <c r="F107" s="29">
        <f>PWETO!F107+MITWABA!F107+KILWA!F107+KASENGA!F108</f>
        <v>1509</v>
      </c>
      <c r="G107" s="29">
        <f>PWETO!G107+MITWABA!G107+KILWA!G107+KASENGA!G108</f>
        <v>1818</v>
      </c>
      <c r="H107" s="29">
        <f>PWETO!H107+MITWABA!H107+KILWA!H107+KASENGA!H108</f>
        <v>1226</v>
      </c>
      <c r="I107" s="29">
        <f>PWETO!I107+MITWABA!I107+KILWA!I107+KASENGA!I108</f>
        <v>1297</v>
      </c>
      <c r="J107" s="29">
        <f>PWETO!J107+MITWABA!J107+KILWA!J107+KASENGA!J108</f>
        <v>856</v>
      </c>
      <c r="K107" s="29">
        <f>PWETO!K107+MITWABA!K107+KILWA!K107+KASENGA!K108</f>
        <v>1031</v>
      </c>
      <c r="L107" s="29">
        <f>PWETO!L107+MITWABA!L107+KILWA!L107+KASENGA!L108</f>
        <v>589</v>
      </c>
      <c r="M107" s="29">
        <f>PWETO!M107+MITWABA!M107+KILWA!M107+KASENGA!M108</f>
        <v>948</v>
      </c>
      <c r="N107" s="29">
        <f>PWETO!N107+MITWABA!N107+KILWA!N107+KASENGA!N108</f>
        <v>493</v>
      </c>
      <c r="O107" s="29">
        <f>PWETO!O107+MITWABA!O107+KILWA!O107+KASENGA!O108</f>
        <v>9896</v>
      </c>
      <c r="P107" s="29">
        <f>PWETO!P107+MITWABA!P107+KILWA!P107+KASENGA!P108</f>
        <v>6627</v>
      </c>
      <c r="Q107" s="29">
        <f>PWETO!Q107+MITWABA!Q107+KILWA!Q107+KASENGA!Q108</f>
        <v>16523</v>
      </c>
      <c r="R107" s="179"/>
    </row>
    <row r="108" spans="1:18" ht="16.2" thickBot="1" x14ac:dyDescent="0.35">
      <c r="A108" s="85">
        <v>3</v>
      </c>
      <c r="B108" s="94" t="s">
        <v>46</v>
      </c>
      <c r="C108" s="29">
        <f>PWETO!C108+MITWABA!C108+KILWA!C108+KASENGA!C109</f>
        <v>3862</v>
      </c>
      <c r="D108" s="29">
        <f>PWETO!D108+MITWABA!D108+KILWA!D108+KASENGA!D109</f>
        <v>2715</v>
      </c>
      <c r="E108" s="29">
        <f>PWETO!E108+MITWABA!E108+KILWA!E108+KASENGA!E109</f>
        <v>3033</v>
      </c>
      <c r="F108" s="29">
        <f>PWETO!F108+MITWABA!F108+KILWA!F108+KASENGA!F109</f>
        <v>2134</v>
      </c>
      <c r="G108" s="29">
        <f>PWETO!G108+MITWABA!G108+KILWA!G108+KASENGA!G109</f>
        <v>2406</v>
      </c>
      <c r="H108" s="29">
        <f>PWETO!H108+MITWABA!H108+KILWA!H108+KASENGA!H109</f>
        <v>1524</v>
      </c>
      <c r="I108" s="29">
        <f>PWETO!I108+MITWABA!I108+KILWA!I108+KASENGA!I109</f>
        <v>1929</v>
      </c>
      <c r="J108" s="29">
        <f>PWETO!J108+MITWABA!J108+KILWA!J108+KASENGA!J109</f>
        <v>1117</v>
      </c>
      <c r="K108" s="29">
        <f>PWETO!K108+MITWABA!K108+KILWA!K108+KASENGA!K109</f>
        <v>1502</v>
      </c>
      <c r="L108" s="29">
        <f>PWETO!L108+MITWABA!L108+KILWA!L108+KASENGA!L109</f>
        <v>823</v>
      </c>
      <c r="M108" s="29">
        <f>PWETO!M108+MITWABA!M108+KILWA!M108+KASENGA!M109</f>
        <v>1411</v>
      </c>
      <c r="N108" s="29">
        <f>PWETO!N108+MITWABA!N108+KILWA!N108+KASENGA!N109</f>
        <v>751</v>
      </c>
      <c r="O108" s="29">
        <f>PWETO!O108+MITWABA!O108+KILWA!O108+KASENGA!O109</f>
        <v>14143</v>
      </c>
      <c r="P108" s="29">
        <f>PWETO!P108+MITWABA!P108+KILWA!P108+KASENGA!P109</f>
        <v>9064</v>
      </c>
      <c r="Q108" s="29">
        <f>PWETO!Q108+MITWABA!Q108+KILWA!Q108+KASENGA!Q109</f>
        <v>23207</v>
      </c>
      <c r="R108" s="179"/>
    </row>
    <row r="109" spans="1:18" ht="16.2" thickBot="1" x14ac:dyDescent="0.35">
      <c r="A109" s="86">
        <v>4</v>
      </c>
      <c r="B109" s="95" t="s">
        <v>47</v>
      </c>
      <c r="C109" s="29">
        <f>PWETO!C109+MITWABA!C109+KILWA!C109+KASENGA!C110</f>
        <v>170</v>
      </c>
      <c r="D109" s="29">
        <f>PWETO!D109+MITWABA!D109+KILWA!D109+KASENGA!D110</f>
        <v>103</v>
      </c>
      <c r="E109" s="29">
        <f>PWETO!E109+MITWABA!E109+KILWA!E109+KASENGA!E110</f>
        <v>137</v>
      </c>
      <c r="F109" s="29">
        <f>PWETO!F109+MITWABA!F109+KILWA!F109+KASENGA!F110</f>
        <v>78</v>
      </c>
      <c r="G109" s="29">
        <f>PWETO!G109+MITWABA!G109+KILWA!G109+KASENGA!G110</f>
        <v>99</v>
      </c>
      <c r="H109" s="29">
        <f>PWETO!H109+MITWABA!H109+KILWA!H109+KASENGA!H110</f>
        <v>45</v>
      </c>
      <c r="I109" s="29">
        <f>PWETO!I109+MITWABA!I109+KILWA!I109+KASENGA!I110</f>
        <v>93</v>
      </c>
      <c r="J109" s="29">
        <f>PWETO!J109+MITWABA!J109+KILWA!J109+KASENGA!J110</f>
        <v>38</v>
      </c>
      <c r="K109" s="29">
        <f>PWETO!K109+MITWABA!K109+KILWA!K109+KASENGA!K110</f>
        <v>37</v>
      </c>
      <c r="L109" s="29">
        <f>PWETO!L109+MITWABA!L109+KILWA!L109+KASENGA!L110</f>
        <v>15</v>
      </c>
      <c r="M109" s="29">
        <f>PWETO!M109+MITWABA!M109+KILWA!M109+KASENGA!M110</f>
        <v>15</v>
      </c>
      <c r="N109" s="29">
        <f>PWETO!N109+MITWABA!N109+KILWA!N109+KASENGA!N110</f>
        <v>3</v>
      </c>
      <c r="O109" s="29">
        <f>PWETO!O109+MITWABA!O109+KILWA!O109+KASENGA!O110</f>
        <v>551</v>
      </c>
      <c r="P109" s="29">
        <f>PWETO!P109+MITWABA!P109+KILWA!P109+KASENGA!P110</f>
        <v>282</v>
      </c>
      <c r="Q109" s="29">
        <f>PWETO!Q109+MITWABA!Q109+KILWA!Q109+KASENGA!Q110</f>
        <v>833</v>
      </c>
    </row>
    <row r="110" spans="1:18" ht="16.2" thickBot="1" x14ac:dyDescent="0.35">
      <c r="A110" s="86">
        <v>5</v>
      </c>
      <c r="B110" s="95" t="s">
        <v>48</v>
      </c>
      <c r="C110" s="29">
        <f>PWETO!C110+MITWABA!C110+KILWA!C110+KASENGA!C111</f>
        <v>14</v>
      </c>
      <c r="D110" s="29">
        <f>PWETO!D110+MITWABA!D110+KILWA!D110+KASENGA!D111</f>
        <v>10</v>
      </c>
      <c r="E110" s="29">
        <f>PWETO!E110+MITWABA!E110+KILWA!E110+KASENGA!E111</f>
        <v>10</v>
      </c>
      <c r="F110" s="29">
        <f>PWETO!F110+MITWABA!F110+KILWA!F110+KASENGA!F111</f>
        <v>3</v>
      </c>
      <c r="G110" s="29">
        <f>PWETO!G110+MITWABA!G110+KILWA!G110+KASENGA!G111</f>
        <v>5</v>
      </c>
      <c r="H110" s="29">
        <f>PWETO!H110+MITWABA!H110+KILWA!H110+KASENGA!H111</f>
        <v>2</v>
      </c>
      <c r="I110" s="29">
        <f>PWETO!I110+MITWABA!I110+KILWA!I110+KASENGA!I111</f>
        <v>0</v>
      </c>
      <c r="J110" s="29">
        <f>PWETO!J110+MITWABA!J110+KILWA!J110+KASENGA!J111</f>
        <v>0</v>
      </c>
      <c r="K110" s="29">
        <f>PWETO!K110+MITWABA!K110+KILWA!K110+KASENGA!K111</f>
        <v>0</v>
      </c>
      <c r="L110" s="29">
        <f>PWETO!L110+MITWABA!L110+KILWA!L110+KASENGA!L111</f>
        <v>0</v>
      </c>
      <c r="M110" s="29">
        <f>PWETO!M110+MITWABA!M110+KILWA!M110+KASENGA!M111</f>
        <v>0</v>
      </c>
      <c r="N110" s="29">
        <f>PWETO!N110+MITWABA!N110+KILWA!N110+KASENGA!N111</f>
        <v>0</v>
      </c>
      <c r="O110" s="29">
        <f>PWETO!O110+MITWABA!O110+KILWA!O110+KASENGA!O111</f>
        <v>29</v>
      </c>
      <c r="P110" s="29">
        <f>PWETO!P110+MITWABA!P110+KILWA!P110+KASENGA!P111</f>
        <v>15</v>
      </c>
      <c r="Q110" s="29">
        <f>PWETO!Q110+MITWABA!Q110+KILWA!Q110+KASENGA!Q111</f>
        <v>44</v>
      </c>
    </row>
    <row r="111" spans="1:18" ht="16.2" thickBot="1" x14ac:dyDescent="0.35">
      <c r="A111" s="86">
        <v>6</v>
      </c>
      <c r="B111" s="95" t="s">
        <v>49</v>
      </c>
      <c r="C111" s="29">
        <f>PWETO!C111+MITWABA!C111+KILWA!C111+KASENGA!C112</f>
        <v>124</v>
      </c>
      <c r="D111" s="29">
        <f>PWETO!D111+MITWABA!D111+KILWA!D111+KASENGA!D112</f>
        <v>134</v>
      </c>
      <c r="E111" s="29">
        <f>PWETO!E111+MITWABA!E111+KILWA!E111+KASENGA!E112</f>
        <v>126</v>
      </c>
      <c r="F111" s="29">
        <f>PWETO!F111+MITWABA!F111+KILWA!F111+KASENGA!F112</f>
        <v>140</v>
      </c>
      <c r="G111" s="29">
        <f>PWETO!G111+MITWABA!G111+KILWA!G111+KASENGA!G112</f>
        <v>158</v>
      </c>
      <c r="H111" s="29">
        <f>PWETO!H111+MITWABA!H111+KILWA!H111+KASENGA!H112</f>
        <v>107</v>
      </c>
      <c r="I111" s="29">
        <f>PWETO!I111+MITWABA!I111+KILWA!I111+KASENGA!I112</f>
        <v>123</v>
      </c>
      <c r="J111" s="29">
        <f>PWETO!J111+MITWABA!J111+KILWA!J111+KASENGA!J112</f>
        <v>95</v>
      </c>
      <c r="K111" s="29">
        <f>PWETO!K111+MITWABA!K111+KILWA!K111+KASENGA!K112</f>
        <v>105</v>
      </c>
      <c r="L111" s="29">
        <f>PWETO!L111+MITWABA!L111+KILWA!L111+KASENGA!L112</f>
        <v>93</v>
      </c>
      <c r="M111" s="29">
        <f>PWETO!M111+MITWABA!M111+KILWA!M111+KASENGA!M112</f>
        <v>117</v>
      </c>
      <c r="N111" s="29">
        <f>PWETO!N111+MITWABA!N111+KILWA!N111+KASENGA!N112</f>
        <v>77</v>
      </c>
      <c r="O111" s="29">
        <f>PWETO!O111+MITWABA!O111+KILWA!O111+KASENGA!O112</f>
        <v>753</v>
      </c>
      <c r="P111" s="29">
        <f>PWETO!P111+MITWABA!P111+KILWA!P111+KASENGA!P112</f>
        <v>646</v>
      </c>
      <c r="Q111" s="29">
        <f>PWETO!Q111+MITWABA!Q111+KILWA!Q111+KASENGA!Q112</f>
        <v>1399</v>
      </c>
    </row>
    <row r="112" spans="1:18" ht="16.2" thickBot="1" x14ac:dyDescent="0.35">
      <c r="A112" s="86">
        <v>7</v>
      </c>
      <c r="B112" s="95" t="s">
        <v>50</v>
      </c>
      <c r="C112" s="29">
        <f>PWETO!C112+MITWABA!C112+KILWA!C112+KASENGA!C113</f>
        <v>110</v>
      </c>
      <c r="D112" s="29">
        <f>PWETO!D112+MITWABA!D112+KILWA!D112+KASENGA!D113</f>
        <v>111</v>
      </c>
      <c r="E112" s="29">
        <f>PWETO!E112+MITWABA!E112+KILWA!E112+KASENGA!E113</f>
        <v>138</v>
      </c>
      <c r="F112" s="29">
        <f>PWETO!F112+MITWABA!F112+KILWA!F112+KASENGA!F113</f>
        <v>102</v>
      </c>
      <c r="G112" s="29">
        <f>PWETO!G112+MITWABA!G112+KILWA!G112+KASENGA!G113</f>
        <v>74</v>
      </c>
      <c r="H112" s="29">
        <f>PWETO!H112+MITWABA!H112+KILWA!H112+KASENGA!H113</f>
        <v>39</v>
      </c>
      <c r="I112" s="29">
        <f>PWETO!I112+MITWABA!I112+KILWA!I112+KASENGA!I113</f>
        <v>64</v>
      </c>
      <c r="J112" s="29">
        <f>PWETO!J112+MITWABA!J112+KILWA!J112+KASENGA!J113</f>
        <v>23</v>
      </c>
      <c r="K112" s="29">
        <f>PWETO!K112+MITWABA!K112+KILWA!K112+KASENGA!K113</f>
        <v>56</v>
      </c>
      <c r="L112" s="29">
        <f>PWETO!L112+MITWABA!L112+KILWA!L112+KASENGA!L113</f>
        <v>28</v>
      </c>
      <c r="M112" s="29">
        <f>PWETO!M112+MITWABA!M112+KILWA!M112+KASENGA!M113</f>
        <v>56</v>
      </c>
      <c r="N112" s="29">
        <f>PWETO!N112+MITWABA!N112+KILWA!N112+KASENGA!N113</f>
        <v>34</v>
      </c>
      <c r="O112" s="29">
        <f>PWETO!O112+MITWABA!O112+KILWA!O112+KASENGA!O113</f>
        <v>498</v>
      </c>
      <c r="P112" s="29">
        <f>PWETO!P112+MITWABA!P112+KILWA!P112+KASENGA!P113</f>
        <v>337</v>
      </c>
      <c r="Q112" s="29">
        <f>PWETO!Q112+MITWABA!Q112+KILWA!Q112+KASENGA!Q113</f>
        <v>835</v>
      </c>
    </row>
    <row r="113" spans="1:18" ht="16.2" customHeight="1" x14ac:dyDescent="0.3">
      <c r="A113" s="280" t="s">
        <v>10</v>
      </c>
      <c r="B113" s="281"/>
      <c r="C113" s="93">
        <f>PWETO!C113+MITWABA!C113+KILWA!C113+KASENGA!C114</f>
        <v>8303</v>
      </c>
      <c r="D113" s="93">
        <f>PWETO!D113+MITWABA!D113+KILWA!D113+KASENGA!D114</f>
        <v>6064</v>
      </c>
      <c r="E113" s="93">
        <f>PWETO!E113+MITWABA!E113+KILWA!E113+KASENGA!E114</f>
        <v>7004</v>
      </c>
      <c r="F113" s="93">
        <f>PWETO!F113+MITWABA!F113+KILWA!F113+KASENGA!F114</f>
        <v>4789</v>
      </c>
      <c r="G113" s="93">
        <f>PWETO!G113+MITWABA!G113+KILWA!G113+KASENGA!G114</f>
        <v>5416</v>
      </c>
      <c r="H113" s="93">
        <f>PWETO!H113+MITWABA!H113+KILWA!H113+KASENGA!H114</f>
        <v>3552</v>
      </c>
      <c r="I113" s="93">
        <f>PWETO!I113+MITWABA!I113+KILWA!I113+KASENGA!I114</f>
        <v>4205</v>
      </c>
      <c r="J113" s="93">
        <f>PWETO!J113+MITWABA!J113+KILWA!J113+KASENGA!J114</f>
        <v>2571</v>
      </c>
      <c r="K113" s="93">
        <f>PWETO!K113+MITWABA!K113+KILWA!K113+KASENGA!K114</f>
        <v>3392</v>
      </c>
      <c r="L113" s="93">
        <f>PWETO!L113+MITWABA!L113+KILWA!L113+KASENGA!L114</f>
        <v>1905</v>
      </c>
      <c r="M113" s="93">
        <f>PWETO!M113+MITWABA!M113+KILWA!M113+KASENGA!M114</f>
        <v>3066</v>
      </c>
      <c r="N113" s="93">
        <f>PWETO!N113+MITWABA!N113+KILWA!N113+KASENGA!N114</f>
        <v>1648</v>
      </c>
      <c r="O113" s="93">
        <f>PWETO!O113+MITWABA!O113+KILWA!O113+KASENGA!O114</f>
        <v>31386</v>
      </c>
      <c r="P113" s="93">
        <f>PWETO!P113+MITWABA!P113+KILWA!P113+KASENGA!P114</f>
        <v>20529</v>
      </c>
      <c r="Q113" s="93">
        <f>PWETO!Q113+MITWABA!Q113+KILWA!Q113+KASENGA!Q114</f>
        <v>51915</v>
      </c>
    </row>
    <row r="115" spans="1:18" ht="15.6" customHeight="1" x14ac:dyDescent="0.3">
      <c r="B115" s="195" t="s">
        <v>110</v>
      </c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</row>
    <row r="116" spans="1:18" ht="14.4" customHeight="1" x14ac:dyDescent="0.3">
      <c r="B116" s="184" t="s">
        <v>111</v>
      </c>
      <c r="C116" s="181" t="s">
        <v>112</v>
      </c>
      <c r="D116" s="196" t="s">
        <v>113</v>
      </c>
      <c r="E116" s="197"/>
      <c r="F116" s="197"/>
      <c r="G116" s="197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8"/>
    </row>
    <row r="117" spans="1:18" ht="14.4" customHeight="1" x14ac:dyDescent="0.3">
      <c r="B117" s="184"/>
      <c r="C117" s="182"/>
      <c r="D117" s="184" t="s">
        <v>129</v>
      </c>
      <c r="E117" s="184"/>
      <c r="F117" s="184" t="s">
        <v>114</v>
      </c>
      <c r="G117" s="184"/>
      <c r="H117" s="184" t="s">
        <v>115</v>
      </c>
      <c r="I117" s="184"/>
      <c r="J117" s="184" t="s">
        <v>116</v>
      </c>
      <c r="K117" s="184"/>
      <c r="L117" s="184" t="s">
        <v>117</v>
      </c>
      <c r="M117" s="184"/>
      <c r="N117" s="184" t="s">
        <v>118</v>
      </c>
      <c r="O117" s="184"/>
      <c r="P117" s="184" t="s">
        <v>10</v>
      </c>
      <c r="Q117" s="184"/>
      <c r="R117" s="184"/>
    </row>
    <row r="118" spans="1:18" ht="14.4" customHeight="1" x14ac:dyDescent="0.3">
      <c r="B118" s="184"/>
      <c r="C118" s="182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</row>
    <row r="119" spans="1:18" ht="15.6" x14ac:dyDescent="0.3">
      <c r="B119" s="184"/>
      <c r="C119" s="183"/>
      <c r="D119" s="164" t="s">
        <v>29</v>
      </c>
      <c r="E119" s="164" t="s">
        <v>30</v>
      </c>
      <c r="F119" s="164" t="s">
        <v>29</v>
      </c>
      <c r="G119" s="164" t="s">
        <v>30</v>
      </c>
      <c r="H119" s="164" t="s">
        <v>29</v>
      </c>
      <c r="I119" s="164" t="s">
        <v>30</v>
      </c>
      <c r="J119" s="164" t="s">
        <v>29</v>
      </c>
      <c r="K119" s="164" t="s">
        <v>30</v>
      </c>
      <c r="L119" s="164" t="s">
        <v>29</v>
      </c>
      <c r="M119" s="164" t="s">
        <v>30</v>
      </c>
      <c r="N119" s="164" t="s">
        <v>29</v>
      </c>
      <c r="O119" s="164" t="s">
        <v>30</v>
      </c>
      <c r="P119" s="164" t="s">
        <v>29</v>
      </c>
      <c r="Q119" s="164" t="s">
        <v>30</v>
      </c>
      <c r="R119" s="164" t="s">
        <v>54</v>
      </c>
    </row>
    <row r="120" spans="1:18" ht="15.6" x14ac:dyDescent="0.3">
      <c r="B120" s="181" t="s">
        <v>44</v>
      </c>
      <c r="C120" s="164" t="s">
        <v>119</v>
      </c>
      <c r="D120" s="164">
        <f>KASENGA!D120+KILWA!D119+MITWABA!D119+PWETO!D119</f>
        <v>1426</v>
      </c>
      <c r="E120" s="164">
        <f>KASENGA!E120+KILWA!E119+MITWABA!E119+PWETO!E119</f>
        <v>1037</v>
      </c>
      <c r="F120" s="164">
        <f>KASENGA!F120+KILWA!F119+MITWABA!F119+PWETO!F119</f>
        <v>1355</v>
      </c>
      <c r="G120" s="164">
        <f>KASENGA!G120+KILWA!G119+MITWABA!G119+PWETO!G119</f>
        <v>823</v>
      </c>
      <c r="H120" s="164">
        <f>KASENGA!H120+KILWA!H119+MITWABA!H119+PWETO!H119</f>
        <v>0</v>
      </c>
      <c r="I120" s="164">
        <f>KASENGA!I120+KILWA!I119+MITWABA!I119+PWETO!I119</f>
        <v>0</v>
      </c>
      <c r="J120" s="164">
        <f>KASENGA!J120+KILWA!J119+MITWABA!J119+PWETO!J119</f>
        <v>0</v>
      </c>
      <c r="K120" s="164">
        <f>KASENGA!K120+KILWA!K119+MITWABA!K119+PWETO!K119</f>
        <v>0</v>
      </c>
      <c r="L120" s="164">
        <f>KASENGA!L120+KILWA!L119+MITWABA!L119+PWETO!L119</f>
        <v>0</v>
      </c>
      <c r="M120" s="164">
        <f>KASENGA!M120+KILWA!M119+MITWABA!M119+PWETO!M119</f>
        <v>0</v>
      </c>
      <c r="N120" s="164">
        <f>KASENGA!N120+KILWA!N119+MITWABA!N119+PWETO!N119</f>
        <v>0</v>
      </c>
      <c r="O120" s="164">
        <f>KASENGA!O120+KILWA!O119+MITWABA!O119+PWETO!O119</f>
        <v>0</v>
      </c>
      <c r="P120" s="164">
        <f>KASENGA!P120+KILWA!P119+MITWABA!P119+PWETO!P119</f>
        <v>2781</v>
      </c>
      <c r="Q120" s="164">
        <f>KASENGA!Q120+KILWA!Q119+MITWABA!Q119+PWETO!Q119</f>
        <v>1860</v>
      </c>
      <c r="R120" s="164">
        <f>KASENGA!R120+KILWA!R119+MITWABA!R119+PWETO!R119</f>
        <v>4641</v>
      </c>
    </row>
    <row r="121" spans="1:18" ht="15.6" x14ac:dyDescent="0.3">
      <c r="B121" s="182"/>
      <c r="C121" s="164" t="s">
        <v>120</v>
      </c>
      <c r="D121" s="164">
        <f>KASENGA!D121+KILWA!D120+MITWABA!D120+PWETO!D120</f>
        <v>0</v>
      </c>
      <c r="E121" s="164">
        <f>KASENGA!E121+KILWA!E120+MITWABA!E120+PWETO!E120</f>
        <v>0</v>
      </c>
      <c r="F121" s="164">
        <f>KASENGA!F121+KILWA!F120+MITWABA!F120+PWETO!F120</f>
        <v>0</v>
      </c>
      <c r="G121" s="164">
        <f>KASENGA!G121+KILWA!G120+MITWABA!G120+PWETO!G120</f>
        <v>0</v>
      </c>
      <c r="H121" s="164">
        <f>KASENGA!H121+KILWA!H120+MITWABA!H120+PWETO!H120</f>
        <v>611</v>
      </c>
      <c r="I121" s="164">
        <f>KASENGA!I121+KILWA!I120+MITWABA!I120+PWETO!I120</f>
        <v>537</v>
      </c>
      <c r="J121" s="164">
        <f>KASENGA!J121+KILWA!J120+MITWABA!J120+PWETO!J120</f>
        <v>482</v>
      </c>
      <c r="K121" s="164">
        <f>KASENGA!K121+KILWA!K120+MITWABA!K120+PWETO!K120</f>
        <v>404</v>
      </c>
      <c r="L121" s="164">
        <f>KASENGA!L121+KILWA!L120+MITWABA!L120+PWETO!L120</f>
        <v>492</v>
      </c>
      <c r="M121" s="164">
        <f>KASENGA!M121+KILWA!M120+MITWABA!M120+PWETO!M120</f>
        <v>328</v>
      </c>
      <c r="N121" s="164">
        <f>KASENGA!N121+KILWA!N120+MITWABA!N120+PWETO!N120</f>
        <v>373</v>
      </c>
      <c r="O121" s="164">
        <f>KASENGA!O121+KILWA!O120+MITWABA!O120+PWETO!O120</f>
        <v>263</v>
      </c>
      <c r="P121" s="164">
        <f>KASENGA!P121+KILWA!P120+MITWABA!P120+PWETO!P120</f>
        <v>1958</v>
      </c>
      <c r="Q121" s="164">
        <f>KASENGA!Q121+KILWA!Q120+MITWABA!Q120+PWETO!Q120</f>
        <v>1532</v>
      </c>
      <c r="R121" s="164">
        <f>KASENGA!R121+KILWA!R120+MITWABA!R120+PWETO!R120</f>
        <v>3490</v>
      </c>
    </row>
    <row r="122" spans="1:18" ht="15.6" x14ac:dyDescent="0.3">
      <c r="B122" s="182"/>
      <c r="C122" s="164" t="s">
        <v>121</v>
      </c>
      <c r="D122" s="164">
        <f>KASENGA!D122+KILWA!D121+MITWABA!D121+PWETO!D121</f>
        <v>0</v>
      </c>
      <c r="E122" s="164">
        <f>KASENGA!E122+KILWA!E121+MITWABA!E121+PWETO!E121</f>
        <v>0</v>
      </c>
      <c r="F122" s="164">
        <f>KASENGA!F122+KILWA!F121+MITWABA!F121+PWETO!F121</f>
        <v>0</v>
      </c>
      <c r="G122" s="164">
        <f>KASENGA!G122+KILWA!G121+MITWABA!G121+PWETO!G121</f>
        <v>0</v>
      </c>
      <c r="H122" s="164">
        <f>KASENGA!H122+KILWA!H121+MITWABA!H121+PWETO!H121</f>
        <v>245</v>
      </c>
      <c r="I122" s="164">
        <f>KASENGA!I122+KILWA!I121+MITWABA!I121+PWETO!I121</f>
        <v>72</v>
      </c>
      <c r="J122" s="164">
        <f>KASENGA!J122+KILWA!J121+MITWABA!J121+PWETO!J121</f>
        <v>217</v>
      </c>
      <c r="K122" s="164">
        <f>KASENGA!K122+KILWA!K121+MITWABA!K121+PWETO!K121</f>
        <v>38</v>
      </c>
      <c r="L122" s="164">
        <f>KASENGA!L122+KILWA!L121+MITWABA!L121+PWETO!L121</f>
        <v>169</v>
      </c>
      <c r="M122" s="164">
        <f>KASENGA!M122+KILWA!M121+MITWABA!M121+PWETO!M121</f>
        <v>29</v>
      </c>
      <c r="N122" s="164">
        <f>KASENGA!N122+KILWA!N121+MITWABA!N121+PWETO!N121</f>
        <v>146</v>
      </c>
      <c r="O122" s="164">
        <f>KASENGA!O122+KILWA!O121+MITWABA!O121+PWETO!O121</f>
        <v>27</v>
      </c>
      <c r="P122" s="164">
        <f>KASENGA!P122+KILWA!P121+MITWABA!P121+PWETO!P121</f>
        <v>777</v>
      </c>
      <c r="Q122" s="164">
        <f>KASENGA!Q122+KILWA!Q121+MITWABA!Q121+PWETO!Q121</f>
        <v>166</v>
      </c>
      <c r="R122" s="164">
        <f>KASENGA!R122+KILWA!R121+MITWABA!R121+PWETO!R121</f>
        <v>943</v>
      </c>
    </row>
    <row r="123" spans="1:18" ht="15.6" x14ac:dyDescent="0.3">
      <c r="B123" s="182"/>
      <c r="C123" s="164" t="s">
        <v>122</v>
      </c>
      <c r="D123" s="164">
        <f>KASENGA!D123+KILWA!D122+MITWABA!D122+PWETO!D122</f>
        <v>0</v>
      </c>
      <c r="E123" s="164">
        <f>KASENGA!E123+KILWA!E122+MITWABA!E122+PWETO!E122</f>
        <v>0</v>
      </c>
      <c r="F123" s="164">
        <f>KASENGA!F123+KILWA!F122+MITWABA!F122+PWETO!F122</f>
        <v>0</v>
      </c>
      <c r="G123" s="164">
        <f>KASENGA!G123+KILWA!G122+MITWABA!G122+PWETO!G122</f>
        <v>0</v>
      </c>
      <c r="H123" s="164">
        <f>KASENGA!H123+KILWA!H122+MITWABA!H122+PWETO!H122</f>
        <v>0</v>
      </c>
      <c r="I123" s="164">
        <f>KASENGA!I123+KILWA!I122+MITWABA!I122+PWETO!I122</f>
        <v>0</v>
      </c>
      <c r="J123" s="164">
        <f>KASENGA!J123+KILWA!J122+MITWABA!J122+PWETO!J122</f>
        <v>0</v>
      </c>
      <c r="K123" s="164">
        <f>KASENGA!K123+KILWA!K122+MITWABA!K122+PWETO!K122</f>
        <v>0</v>
      </c>
      <c r="L123" s="164">
        <f>KASENGA!L123+KILWA!L122+MITWABA!L122+PWETO!L122</f>
        <v>0</v>
      </c>
      <c r="M123" s="164">
        <f>KASENGA!M123+KILWA!M122+MITWABA!M122+PWETO!M122</f>
        <v>0</v>
      </c>
      <c r="N123" s="164">
        <f>KASENGA!N123+KILWA!N122+MITWABA!N122+PWETO!N122</f>
        <v>0</v>
      </c>
      <c r="O123" s="164">
        <f>KASENGA!O123+KILWA!O122+MITWABA!O122+PWETO!O122</f>
        <v>0</v>
      </c>
      <c r="P123" s="164">
        <f>KASENGA!P123+KILWA!P122+MITWABA!P122+PWETO!P122</f>
        <v>0</v>
      </c>
      <c r="Q123" s="164">
        <f>KASENGA!Q123+KILWA!Q122+MITWABA!Q122+PWETO!Q122</f>
        <v>0</v>
      </c>
      <c r="R123" s="164">
        <f>KASENGA!R123+KILWA!R122+MITWABA!R122+PWETO!R122</f>
        <v>0</v>
      </c>
    </row>
    <row r="124" spans="1:18" ht="15.6" x14ac:dyDescent="0.3">
      <c r="B124" s="183"/>
      <c r="C124" s="164" t="s">
        <v>123</v>
      </c>
      <c r="D124" s="164">
        <f>KASENGA!D124+KILWA!D123+MITWABA!D123+PWETO!D123</f>
        <v>0</v>
      </c>
      <c r="E124" s="164">
        <f>KASENGA!E124+KILWA!E123+MITWABA!E123+PWETO!E123</f>
        <v>0</v>
      </c>
      <c r="F124" s="164">
        <f>KASENGA!F124+KILWA!F123+MITWABA!F123+PWETO!F123</f>
        <v>0</v>
      </c>
      <c r="G124" s="164">
        <f>KASENGA!G124+KILWA!G123+MITWABA!G123+PWETO!G123</f>
        <v>0</v>
      </c>
      <c r="H124" s="164">
        <f>KASENGA!H124+KILWA!H123+MITWABA!H123+PWETO!H123</f>
        <v>0</v>
      </c>
      <c r="I124" s="164">
        <f>KASENGA!I124+KILWA!I123+MITWABA!I123+PWETO!I123</f>
        <v>0</v>
      </c>
      <c r="J124" s="164">
        <f>KASENGA!J124+KILWA!J123+MITWABA!J123+PWETO!J123</f>
        <v>0</v>
      </c>
      <c r="K124" s="164">
        <f>KASENGA!K124+KILWA!K123+MITWABA!K123+PWETO!K123</f>
        <v>0</v>
      </c>
      <c r="L124" s="164">
        <f>KASENGA!L124+KILWA!L123+MITWABA!L123+PWETO!L123</f>
        <v>0</v>
      </c>
      <c r="M124" s="164">
        <f>KASENGA!M124+KILWA!M123+MITWABA!M123+PWETO!M123</f>
        <v>0</v>
      </c>
      <c r="N124" s="164">
        <f>KASENGA!N124+KILWA!N123+MITWABA!N123+PWETO!N123</f>
        <v>0</v>
      </c>
      <c r="O124" s="164">
        <f>KASENGA!O124+KILWA!O123+MITWABA!O123+PWETO!O123</f>
        <v>0</v>
      </c>
      <c r="P124" s="164">
        <f>KASENGA!P124+KILWA!P123+MITWABA!P123+PWETO!P123</f>
        <v>0</v>
      </c>
      <c r="Q124" s="164">
        <f>KASENGA!Q124+KILWA!Q123+MITWABA!Q123+PWETO!Q123</f>
        <v>0</v>
      </c>
      <c r="R124" s="164">
        <f>KASENGA!R124+KILWA!R123+MITWABA!R123+PWETO!R123</f>
        <v>0</v>
      </c>
    </row>
    <row r="125" spans="1:18" ht="15.6" x14ac:dyDescent="0.3">
      <c r="B125" s="181" t="s">
        <v>45</v>
      </c>
      <c r="C125" s="164" t="s">
        <v>119</v>
      </c>
      <c r="D125" s="164">
        <f>KASENGA!D125+KILWA!D124+MITWABA!D124+PWETO!D124</f>
        <v>2597</v>
      </c>
      <c r="E125" s="164">
        <f>KASENGA!E125+KILWA!E124+MITWABA!E124+PWETO!E124</f>
        <v>1954</v>
      </c>
      <c r="F125" s="164">
        <f>KASENGA!F125+KILWA!F124+MITWABA!F124+PWETO!F124</f>
        <v>2205</v>
      </c>
      <c r="G125" s="164">
        <f>KASENGA!G125+KILWA!G124+MITWABA!G124+PWETO!G124</f>
        <v>1509</v>
      </c>
      <c r="H125" s="164">
        <f>KASENGA!H125+KILWA!H124+MITWABA!H124+PWETO!H124</f>
        <v>0</v>
      </c>
      <c r="I125" s="164">
        <f>KASENGA!I125+KILWA!I124+MITWABA!I124+PWETO!I124</f>
        <v>0</v>
      </c>
      <c r="J125" s="164">
        <f>KASENGA!J125+KILWA!J124+MITWABA!J124+PWETO!J124</f>
        <v>0</v>
      </c>
      <c r="K125" s="164">
        <f>KASENGA!K125+KILWA!K124+MITWABA!K124+PWETO!K124</f>
        <v>0</v>
      </c>
      <c r="L125" s="164">
        <f>KASENGA!L125+KILWA!L124+MITWABA!L124+PWETO!L124</f>
        <v>0</v>
      </c>
      <c r="M125" s="164">
        <f>KASENGA!M125+KILWA!M124+MITWABA!M124+PWETO!M124</f>
        <v>0</v>
      </c>
      <c r="N125" s="164">
        <f>KASENGA!N125+KILWA!N124+MITWABA!N124+PWETO!N124</f>
        <v>0</v>
      </c>
      <c r="O125" s="164">
        <f>KASENGA!O125+KILWA!O124+MITWABA!O124+PWETO!O124</f>
        <v>0</v>
      </c>
      <c r="P125" s="164">
        <f>KASENGA!P125+KILWA!P124+MITWABA!P124+PWETO!P124</f>
        <v>4802</v>
      </c>
      <c r="Q125" s="164">
        <f>KASENGA!Q125+KILWA!Q124+MITWABA!Q124+PWETO!Q124</f>
        <v>3463</v>
      </c>
      <c r="R125" s="164">
        <f>KASENGA!R125+KILWA!R124+MITWABA!R124+PWETO!R124</f>
        <v>8265</v>
      </c>
    </row>
    <row r="126" spans="1:18" ht="15.6" x14ac:dyDescent="0.3">
      <c r="B126" s="182"/>
      <c r="C126" s="164" t="s">
        <v>120</v>
      </c>
      <c r="D126" s="164">
        <f>KASENGA!D126+KILWA!D125+MITWABA!D125+PWETO!D125</f>
        <v>0</v>
      </c>
      <c r="E126" s="164">
        <f>KASENGA!E126+KILWA!E125+MITWABA!E125+PWETO!E125</f>
        <v>0</v>
      </c>
      <c r="F126" s="164">
        <f>KASENGA!F126+KILWA!F125+MITWABA!F125+PWETO!F125</f>
        <v>0</v>
      </c>
      <c r="G126" s="164">
        <f>KASENGA!G126+KILWA!G125+MITWABA!G125+PWETO!G125</f>
        <v>0</v>
      </c>
      <c r="H126" s="164">
        <f>KASENGA!H126+KILWA!H125+MITWABA!H125+PWETO!H125</f>
        <v>1614</v>
      </c>
      <c r="I126" s="164">
        <f>KASENGA!I126+KILWA!I125+MITWABA!I125+PWETO!I125</f>
        <v>1132</v>
      </c>
      <c r="J126" s="164">
        <f>KASENGA!J126+KILWA!J125+MITWABA!J125+PWETO!J125</f>
        <v>1176</v>
      </c>
      <c r="K126" s="164">
        <f>KASENGA!K126+KILWA!K125+MITWABA!K125+PWETO!K125</f>
        <v>832</v>
      </c>
      <c r="L126" s="164">
        <f>KASENGA!L126+KILWA!L125+MITWABA!L125+PWETO!L125</f>
        <v>931</v>
      </c>
      <c r="M126" s="164">
        <f>KASENGA!M126+KILWA!M125+MITWABA!M125+PWETO!M125</f>
        <v>567</v>
      </c>
      <c r="N126" s="164">
        <f>KASENGA!N126+KILWA!N125+MITWABA!N125+PWETO!N125</f>
        <v>887</v>
      </c>
      <c r="O126" s="164">
        <f>KASENGA!O126+KILWA!O125+MITWABA!O125+PWETO!O125</f>
        <v>475</v>
      </c>
      <c r="P126" s="164">
        <f>KASENGA!P126+KILWA!P125+MITWABA!P125+PWETO!P125</f>
        <v>4608</v>
      </c>
      <c r="Q126" s="164">
        <f>KASENGA!Q126+KILWA!Q125+MITWABA!Q125+PWETO!Q125</f>
        <v>3006</v>
      </c>
      <c r="R126" s="164">
        <f>KASENGA!R126+KILWA!R125+MITWABA!R125+PWETO!R125</f>
        <v>7614</v>
      </c>
    </row>
    <row r="127" spans="1:18" ht="15.6" x14ac:dyDescent="0.3">
      <c r="B127" s="182"/>
      <c r="C127" s="164" t="s">
        <v>121</v>
      </c>
      <c r="D127" s="164">
        <f>KASENGA!D127+KILWA!D126+MITWABA!D126+PWETO!D126</f>
        <v>0</v>
      </c>
      <c r="E127" s="164">
        <f>KASENGA!E127+KILWA!E126+MITWABA!E126+PWETO!E126</f>
        <v>0</v>
      </c>
      <c r="F127" s="164">
        <f>KASENGA!F127+KILWA!F126+MITWABA!F126+PWETO!F126</f>
        <v>0</v>
      </c>
      <c r="G127" s="164">
        <f>KASENGA!G127+KILWA!G126+MITWABA!G126+PWETO!G126</f>
        <v>0</v>
      </c>
      <c r="H127" s="164">
        <f>KASENGA!H127+KILWA!H126+MITWABA!H126+PWETO!H126</f>
        <v>188</v>
      </c>
      <c r="I127" s="164">
        <f>KASENGA!I127+KILWA!I126+MITWABA!I126+PWETO!I126</f>
        <v>92</v>
      </c>
      <c r="J127" s="164">
        <f>KASENGA!J127+KILWA!J126+MITWABA!J126+PWETO!J126</f>
        <v>101</v>
      </c>
      <c r="K127" s="164">
        <f>KASENGA!K127+KILWA!K126+MITWABA!K126+PWETO!K126</f>
        <v>16</v>
      </c>
      <c r="L127" s="164">
        <f>KASENGA!L127+KILWA!L126+MITWABA!L126+PWETO!L126</f>
        <v>100</v>
      </c>
      <c r="M127" s="164">
        <f>KASENGA!M127+KILWA!M126+MITWABA!M126+PWETO!M126</f>
        <v>22</v>
      </c>
      <c r="N127" s="164">
        <f>KASENGA!N127+KILWA!N126+MITWABA!N126+PWETO!N126</f>
        <v>61</v>
      </c>
      <c r="O127" s="164">
        <f>KASENGA!O127+KILWA!O126+MITWABA!O126+PWETO!O126</f>
        <v>18</v>
      </c>
      <c r="P127" s="164">
        <f>KASENGA!P127+KILWA!P126+MITWABA!P126+PWETO!P126</f>
        <v>450</v>
      </c>
      <c r="Q127" s="164">
        <f>KASENGA!Q127+KILWA!Q126+MITWABA!Q126+PWETO!Q126</f>
        <v>148</v>
      </c>
      <c r="R127" s="164">
        <f>KASENGA!R127+KILWA!R126+MITWABA!R126+PWETO!R126</f>
        <v>598</v>
      </c>
    </row>
    <row r="128" spans="1:18" ht="15.6" x14ac:dyDescent="0.3">
      <c r="B128" s="182"/>
      <c r="C128" s="164" t="s">
        <v>122</v>
      </c>
      <c r="D128" s="164">
        <f>KASENGA!D128+KILWA!D127+MITWABA!D127+PWETO!D127</f>
        <v>0</v>
      </c>
      <c r="E128" s="164">
        <f>KASENGA!E128+KILWA!E127+MITWABA!E127+PWETO!E127</f>
        <v>0</v>
      </c>
      <c r="F128" s="164">
        <f>KASENGA!F128+KILWA!F127+MITWABA!F127+PWETO!F127</f>
        <v>0</v>
      </c>
      <c r="G128" s="164">
        <f>KASENGA!G128+KILWA!G127+MITWABA!G127+PWETO!G127</f>
        <v>0</v>
      </c>
      <c r="H128" s="164">
        <f>KASENGA!H128+KILWA!H127+MITWABA!H127+PWETO!H127</f>
        <v>16</v>
      </c>
      <c r="I128" s="164">
        <f>KASENGA!I128+KILWA!I127+MITWABA!I127+PWETO!I127</f>
        <v>2</v>
      </c>
      <c r="J128" s="164">
        <f>KASENGA!J128+KILWA!J127+MITWABA!J127+PWETO!J127</f>
        <v>20</v>
      </c>
      <c r="K128" s="164">
        <f>KASENGA!K128+KILWA!K127+MITWABA!K127+PWETO!K127</f>
        <v>8</v>
      </c>
      <c r="L128" s="164">
        <f>KASENGA!L128+KILWA!L127+MITWABA!L127+PWETO!L127</f>
        <v>0</v>
      </c>
      <c r="M128" s="164">
        <f>KASENGA!M128+KILWA!M127+MITWABA!M127+PWETO!M127</f>
        <v>0</v>
      </c>
      <c r="N128" s="164">
        <f>KASENGA!N128+KILWA!N127+MITWABA!N127+PWETO!N127</f>
        <v>0</v>
      </c>
      <c r="O128" s="164">
        <f>KASENGA!O128+KILWA!O127+MITWABA!O127+PWETO!O127</f>
        <v>0</v>
      </c>
      <c r="P128" s="164">
        <f>KASENGA!P128+KILWA!P127+MITWABA!P127+PWETO!P127</f>
        <v>36</v>
      </c>
      <c r="Q128" s="164">
        <f>KASENGA!Q128+KILWA!Q127+MITWABA!Q127+PWETO!Q127</f>
        <v>10</v>
      </c>
      <c r="R128" s="164">
        <f>KASENGA!R128+KILWA!R127+MITWABA!R127+PWETO!R127</f>
        <v>46</v>
      </c>
    </row>
    <row r="129" spans="2:18" ht="15.6" x14ac:dyDescent="0.3">
      <c r="B129" s="183"/>
      <c r="C129" s="164" t="s">
        <v>123</v>
      </c>
      <c r="D129" s="164">
        <f>KASENGA!D129+KILWA!D128+MITWABA!D128+PWETO!D128</f>
        <v>0</v>
      </c>
      <c r="E129" s="164">
        <f>KASENGA!E129+KILWA!E128+MITWABA!E128+PWETO!E128</f>
        <v>0</v>
      </c>
      <c r="F129" s="164">
        <f>KASENGA!F129+KILWA!F128+MITWABA!F128+PWETO!F128</f>
        <v>0</v>
      </c>
      <c r="G129" s="164">
        <f>KASENGA!G129+KILWA!G128+MITWABA!G128+PWETO!G128</f>
        <v>0</v>
      </c>
      <c r="H129" s="164">
        <f>KASENGA!H129+KILWA!H128+MITWABA!H128+PWETO!H128</f>
        <v>0</v>
      </c>
      <c r="I129" s="164">
        <f>KASENGA!I129+KILWA!I128+MITWABA!I128+PWETO!I128</f>
        <v>0</v>
      </c>
      <c r="J129" s="164">
        <f>KASENGA!J129+KILWA!J128+MITWABA!J128+PWETO!J128</f>
        <v>0</v>
      </c>
      <c r="K129" s="164">
        <f>KASENGA!K129+KILWA!K128+MITWABA!K128+PWETO!K128</f>
        <v>0</v>
      </c>
      <c r="L129" s="164">
        <f>KASENGA!L129+KILWA!L128+MITWABA!L128+PWETO!L128</f>
        <v>0</v>
      </c>
      <c r="M129" s="164">
        <f>KASENGA!M129+KILWA!M128+MITWABA!M128+PWETO!M128</f>
        <v>0</v>
      </c>
      <c r="N129" s="164">
        <f>KASENGA!N129+KILWA!N128+MITWABA!N128+PWETO!N128</f>
        <v>0</v>
      </c>
      <c r="O129" s="164">
        <f>KASENGA!O129+KILWA!O128+MITWABA!O128+PWETO!O128</f>
        <v>0</v>
      </c>
      <c r="P129" s="164">
        <f>KASENGA!P129+KILWA!P128+MITWABA!P128+PWETO!P128</f>
        <v>0</v>
      </c>
      <c r="Q129" s="164">
        <f>KASENGA!Q129+KILWA!Q128+MITWABA!Q128+PWETO!Q128</f>
        <v>0</v>
      </c>
      <c r="R129" s="164">
        <f>KASENGA!R129+KILWA!R128+MITWABA!R128+PWETO!R128</f>
        <v>0</v>
      </c>
    </row>
    <row r="130" spans="2:18" ht="15.6" x14ac:dyDescent="0.3">
      <c r="B130" s="181" t="s">
        <v>46</v>
      </c>
      <c r="C130" s="164" t="s">
        <v>119</v>
      </c>
      <c r="D130" s="164">
        <f>KASENGA!D130+KILWA!D129+MITWABA!D129+PWETO!D129</f>
        <v>3862</v>
      </c>
      <c r="E130" s="164">
        <f>KASENGA!E130+KILWA!E129+MITWABA!E129+PWETO!E129</f>
        <v>2715</v>
      </c>
      <c r="F130" s="164">
        <f>KASENGA!F130+KILWA!F129+MITWABA!F129+PWETO!F129</f>
        <v>3033</v>
      </c>
      <c r="G130" s="164">
        <f>KASENGA!G130+KILWA!G129+MITWABA!G129+PWETO!G129</f>
        <v>2134</v>
      </c>
      <c r="H130" s="164">
        <f>KASENGA!H130+KILWA!H129+MITWABA!H129+PWETO!H129</f>
        <v>0</v>
      </c>
      <c r="I130" s="164">
        <f>KASENGA!I130+KILWA!I129+MITWABA!I129+PWETO!I129</f>
        <v>0</v>
      </c>
      <c r="J130" s="164">
        <f>KASENGA!J130+KILWA!J129+MITWABA!J129+PWETO!J129</f>
        <v>0</v>
      </c>
      <c r="K130" s="164">
        <f>KASENGA!K130+KILWA!K129+MITWABA!K129+PWETO!K129</f>
        <v>0</v>
      </c>
      <c r="L130" s="164">
        <f>KASENGA!L130+KILWA!L129+MITWABA!L129+PWETO!L129</f>
        <v>0</v>
      </c>
      <c r="M130" s="164">
        <f>KASENGA!M130+KILWA!M129+MITWABA!M129+PWETO!M129</f>
        <v>0</v>
      </c>
      <c r="N130" s="164">
        <f>KASENGA!N130+KILWA!N129+MITWABA!N129+PWETO!N129</f>
        <v>0</v>
      </c>
      <c r="O130" s="164">
        <f>KASENGA!O130+KILWA!O129+MITWABA!O129+PWETO!O129</f>
        <v>0</v>
      </c>
      <c r="P130" s="164">
        <f>KASENGA!P130+KILWA!P129+MITWABA!P129+PWETO!P129</f>
        <v>6895</v>
      </c>
      <c r="Q130" s="164">
        <f>KASENGA!Q130+KILWA!Q129+MITWABA!Q129+PWETO!Q129</f>
        <v>4849</v>
      </c>
      <c r="R130" s="164">
        <f>KASENGA!R130+KILWA!R129+MITWABA!R129+PWETO!R129</f>
        <v>11744</v>
      </c>
    </row>
    <row r="131" spans="2:18" ht="15.6" x14ac:dyDescent="0.3">
      <c r="B131" s="182"/>
      <c r="C131" s="164" t="s">
        <v>120</v>
      </c>
      <c r="D131" s="164">
        <f>KASENGA!D131+KILWA!D130+MITWABA!D130+PWETO!D130</f>
        <v>0</v>
      </c>
      <c r="E131" s="164">
        <f>KASENGA!E131+KILWA!E130+MITWABA!E130+PWETO!E130</f>
        <v>0</v>
      </c>
      <c r="F131" s="164">
        <f>KASENGA!F131+KILWA!F130+MITWABA!F130+PWETO!F130</f>
        <v>0</v>
      </c>
      <c r="G131" s="164">
        <f>KASENGA!G131+KILWA!G130+MITWABA!G130+PWETO!G130</f>
        <v>0</v>
      </c>
      <c r="H131" s="164">
        <f>KASENGA!H131+KILWA!H130+MITWABA!H130+PWETO!H130</f>
        <v>2227</v>
      </c>
      <c r="I131" s="164">
        <f>KASENGA!I131+KILWA!I130+MITWABA!I130+PWETO!I130</f>
        <v>1478</v>
      </c>
      <c r="J131" s="164">
        <f>KASENGA!J131+KILWA!J130+MITWABA!J130+PWETO!J130</f>
        <v>1811</v>
      </c>
      <c r="K131" s="164">
        <f>KASENGA!K131+KILWA!K130+MITWABA!K130+PWETO!K130</f>
        <v>1079</v>
      </c>
      <c r="L131" s="164">
        <f>KASENGA!L131+KILWA!L130+MITWABA!L130+PWETO!L130</f>
        <v>1397</v>
      </c>
      <c r="M131" s="164">
        <f>KASENGA!M131+KILWA!M130+MITWABA!M130+PWETO!M130</f>
        <v>789</v>
      </c>
      <c r="N131" s="164">
        <f>KASENGA!N131+KILWA!N130+MITWABA!N130+PWETO!N130</f>
        <v>1338</v>
      </c>
      <c r="O131" s="164">
        <f>KASENGA!O131+KILWA!O130+MITWABA!O130+PWETO!O130</f>
        <v>733</v>
      </c>
      <c r="P131" s="164">
        <f>KASENGA!P131+KILWA!P130+MITWABA!P130+PWETO!P130</f>
        <v>6773</v>
      </c>
      <c r="Q131" s="164">
        <f>KASENGA!Q131+KILWA!Q130+MITWABA!Q130+PWETO!Q130</f>
        <v>4079</v>
      </c>
      <c r="R131" s="164">
        <f>KASENGA!R131+KILWA!R130+MITWABA!R130+PWETO!R130</f>
        <v>10852</v>
      </c>
    </row>
    <row r="132" spans="2:18" ht="15.6" x14ac:dyDescent="0.3">
      <c r="B132" s="182"/>
      <c r="C132" s="164" t="s">
        <v>121</v>
      </c>
      <c r="D132" s="164">
        <f>KASENGA!D132+KILWA!D131+MITWABA!D131+PWETO!D131</f>
        <v>0</v>
      </c>
      <c r="E132" s="164">
        <f>KASENGA!E132+KILWA!E131+MITWABA!E131+PWETO!E131</f>
        <v>0</v>
      </c>
      <c r="F132" s="164">
        <f>KASENGA!F132+KILWA!F131+MITWABA!F131+PWETO!F131</f>
        <v>0</v>
      </c>
      <c r="G132" s="164">
        <f>KASENGA!G132+KILWA!G131+MITWABA!G131+PWETO!G131</f>
        <v>0</v>
      </c>
      <c r="H132" s="164">
        <f>KASENGA!H132+KILWA!H131+MITWABA!H131+PWETO!H131</f>
        <v>179</v>
      </c>
      <c r="I132" s="164">
        <f>KASENGA!I132+KILWA!I131+MITWABA!I131+PWETO!I131</f>
        <v>46</v>
      </c>
      <c r="J132" s="164">
        <f>KASENGA!J132+KILWA!J131+MITWABA!J131+PWETO!J131</f>
        <v>118</v>
      </c>
      <c r="K132" s="164">
        <f>KASENGA!K132+KILWA!K131+MITWABA!K131+PWETO!K131</f>
        <v>38</v>
      </c>
      <c r="L132" s="164">
        <f>KASENGA!L132+KILWA!L131+MITWABA!L131+PWETO!L131</f>
        <v>105</v>
      </c>
      <c r="M132" s="164">
        <f>KASENGA!M132+KILWA!M131+MITWABA!M131+PWETO!M131</f>
        <v>34</v>
      </c>
      <c r="N132" s="164">
        <f>KASENGA!N132+KILWA!N131+MITWABA!N131+PWETO!N131</f>
        <v>73</v>
      </c>
      <c r="O132" s="164">
        <f>KASENGA!O132+KILWA!O131+MITWABA!O131+PWETO!O131</f>
        <v>18</v>
      </c>
      <c r="P132" s="164">
        <f>KASENGA!P132+KILWA!P131+MITWABA!P131+PWETO!P131</f>
        <v>475</v>
      </c>
      <c r="Q132" s="164">
        <f>KASENGA!Q132+KILWA!Q131+MITWABA!Q131+PWETO!Q131</f>
        <v>136</v>
      </c>
      <c r="R132" s="164">
        <f>KASENGA!R132+KILWA!R131+MITWABA!R131+PWETO!R131</f>
        <v>611</v>
      </c>
    </row>
    <row r="133" spans="2:18" ht="15.6" x14ac:dyDescent="0.3">
      <c r="B133" s="182"/>
      <c r="C133" s="164" t="s">
        <v>122</v>
      </c>
      <c r="D133" s="164">
        <f>KASENGA!D133+KILWA!D132+MITWABA!D132+PWETO!D132</f>
        <v>0</v>
      </c>
      <c r="E133" s="164">
        <f>KASENGA!E133+KILWA!E132+MITWABA!E132+PWETO!E132</f>
        <v>0</v>
      </c>
      <c r="F133" s="164">
        <f>KASENGA!F133+KILWA!F132+MITWABA!F132+PWETO!F132</f>
        <v>0</v>
      </c>
      <c r="G133" s="164">
        <f>KASENGA!G133+KILWA!G132+MITWABA!G132+PWETO!G132</f>
        <v>0</v>
      </c>
      <c r="H133" s="164">
        <f>KASENGA!H133+KILWA!H132+MITWABA!H132+PWETO!H132</f>
        <v>0</v>
      </c>
      <c r="I133" s="164">
        <f>KASENGA!I133+KILWA!I132+MITWABA!I132+PWETO!I132</f>
        <v>0</v>
      </c>
      <c r="J133" s="164">
        <f>KASENGA!J133+KILWA!J132+MITWABA!J132+PWETO!J132</f>
        <v>0</v>
      </c>
      <c r="K133" s="164">
        <f>KASENGA!K133+KILWA!K132+MITWABA!K132+PWETO!K132</f>
        <v>0</v>
      </c>
      <c r="L133" s="164">
        <f>KASENGA!L133+KILWA!L132+MITWABA!L132+PWETO!L132</f>
        <v>0</v>
      </c>
      <c r="M133" s="164">
        <f>KASENGA!M133+KILWA!M132+MITWABA!M132+PWETO!M132</f>
        <v>0</v>
      </c>
      <c r="N133" s="164">
        <f>KASENGA!N133+KILWA!N132+MITWABA!N132+PWETO!N132</f>
        <v>0</v>
      </c>
      <c r="O133" s="164">
        <f>KASENGA!O133+KILWA!O132+MITWABA!O132+PWETO!O132</f>
        <v>0</v>
      </c>
      <c r="P133" s="164">
        <f>KASENGA!P133+KILWA!P132+MITWABA!P132+PWETO!P132</f>
        <v>0</v>
      </c>
      <c r="Q133" s="164">
        <f>KASENGA!Q133+KILWA!Q132+MITWABA!Q132+PWETO!Q132</f>
        <v>0</v>
      </c>
      <c r="R133" s="164">
        <f>KASENGA!R133+KILWA!R132+MITWABA!R132+PWETO!R132</f>
        <v>0</v>
      </c>
    </row>
    <row r="134" spans="2:18" ht="15.6" x14ac:dyDescent="0.3">
      <c r="B134" s="183"/>
      <c r="C134" s="164" t="s">
        <v>123</v>
      </c>
      <c r="D134" s="164">
        <f>KASENGA!D134+KILWA!D133+MITWABA!D133+PWETO!D133</f>
        <v>0</v>
      </c>
      <c r="E134" s="164">
        <f>KASENGA!E134+KILWA!E133+MITWABA!E133+PWETO!E133</f>
        <v>0</v>
      </c>
      <c r="F134" s="164">
        <f>KASENGA!F134+KILWA!F133+MITWABA!F133+PWETO!F133</f>
        <v>0</v>
      </c>
      <c r="G134" s="164">
        <f>KASENGA!G134+KILWA!G133+MITWABA!G133+PWETO!G133</f>
        <v>0</v>
      </c>
      <c r="H134" s="164">
        <f>KASENGA!H134+KILWA!H133+MITWABA!H133+PWETO!H133</f>
        <v>0</v>
      </c>
      <c r="I134" s="164">
        <f>KASENGA!I134+KILWA!I133+MITWABA!I133+PWETO!I133</f>
        <v>0</v>
      </c>
      <c r="J134" s="164">
        <f>KASENGA!J134+KILWA!J133+MITWABA!J133+PWETO!J133</f>
        <v>0</v>
      </c>
      <c r="K134" s="164">
        <f>KASENGA!K134+KILWA!K133+MITWABA!K133+PWETO!K133</f>
        <v>0</v>
      </c>
      <c r="L134" s="164">
        <f>KASENGA!L134+KILWA!L133+MITWABA!L133+PWETO!L133</f>
        <v>0</v>
      </c>
      <c r="M134" s="164">
        <f>KASENGA!M134+KILWA!M133+MITWABA!M133+PWETO!M133</f>
        <v>0</v>
      </c>
      <c r="N134" s="164">
        <f>KASENGA!N134+KILWA!N133+MITWABA!N133+PWETO!N133</f>
        <v>0</v>
      </c>
      <c r="O134" s="164">
        <f>KASENGA!O134+KILWA!O133+MITWABA!O133+PWETO!O133</f>
        <v>0</v>
      </c>
      <c r="P134" s="164">
        <f>KASENGA!P134+KILWA!P133+MITWABA!P133+PWETO!P133</f>
        <v>0</v>
      </c>
      <c r="Q134" s="164">
        <f>KASENGA!Q134+KILWA!Q133+MITWABA!Q133+PWETO!Q133</f>
        <v>0</v>
      </c>
      <c r="R134" s="164">
        <f>KASENGA!R134+KILWA!R133+MITWABA!R133+PWETO!R133</f>
        <v>0</v>
      </c>
    </row>
    <row r="135" spans="2:18" ht="15.6" x14ac:dyDescent="0.3">
      <c r="B135" s="181" t="s">
        <v>47</v>
      </c>
      <c r="C135" s="164" t="s">
        <v>119</v>
      </c>
      <c r="D135" s="164">
        <f>KASENGA!D135+KILWA!D134+MITWABA!D134+PWETO!D134</f>
        <v>170</v>
      </c>
      <c r="E135" s="164">
        <f>KASENGA!E135+KILWA!E134+MITWABA!E134+PWETO!E134</f>
        <v>103</v>
      </c>
      <c r="F135" s="164">
        <f>KASENGA!F135+KILWA!F134+MITWABA!F134+PWETO!F134</f>
        <v>137</v>
      </c>
      <c r="G135" s="164">
        <f>KASENGA!G135+KILWA!G134+MITWABA!G134+PWETO!G134</f>
        <v>78</v>
      </c>
      <c r="H135" s="164">
        <f>KASENGA!H135+KILWA!H134+MITWABA!H134+PWETO!H134</f>
        <v>0</v>
      </c>
      <c r="I135" s="164">
        <f>KASENGA!I135+KILWA!I134+MITWABA!I134+PWETO!I134</f>
        <v>0</v>
      </c>
      <c r="J135" s="164">
        <f>KASENGA!J135+KILWA!J134+MITWABA!J134+PWETO!J134</f>
        <v>0</v>
      </c>
      <c r="K135" s="164">
        <f>KASENGA!K135+KILWA!K134+MITWABA!K134+PWETO!K134</f>
        <v>0</v>
      </c>
      <c r="L135" s="164">
        <f>KASENGA!L135+KILWA!L134+MITWABA!L134+PWETO!L134</f>
        <v>0</v>
      </c>
      <c r="M135" s="164">
        <f>KASENGA!M135+KILWA!M134+MITWABA!M134+PWETO!M134</f>
        <v>0</v>
      </c>
      <c r="N135" s="164">
        <f>KASENGA!N135+KILWA!N134+MITWABA!N134+PWETO!N134</f>
        <v>0</v>
      </c>
      <c r="O135" s="164">
        <f>KASENGA!O135+KILWA!O134+MITWABA!O134+PWETO!O134</f>
        <v>0</v>
      </c>
      <c r="P135" s="164">
        <f>KASENGA!P135+KILWA!P134+MITWABA!P134+PWETO!P134</f>
        <v>307</v>
      </c>
      <c r="Q135" s="164">
        <f>KASENGA!Q135+KILWA!Q134+MITWABA!Q134+PWETO!Q134</f>
        <v>181</v>
      </c>
      <c r="R135" s="164">
        <f>KASENGA!R135+KILWA!R134+MITWABA!R134+PWETO!R134</f>
        <v>488</v>
      </c>
    </row>
    <row r="136" spans="2:18" ht="15.6" x14ac:dyDescent="0.3">
      <c r="B136" s="182"/>
      <c r="C136" s="164" t="s">
        <v>120</v>
      </c>
      <c r="D136" s="164">
        <f>KASENGA!D136+KILWA!D135+MITWABA!D135+PWETO!D135</f>
        <v>0</v>
      </c>
      <c r="E136" s="164">
        <f>KASENGA!E136+KILWA!E135+MITWABA!E135+PWETO!E135</f>
        <v>0</v>
      </c>
      <c r="F136" s="164">
        <f>KASENGA!F136+KILWA!F135+MITWABA!F135+PWETO!F135</f>
        <v>0</v>
      </c>
      <c r="G136" s="164">
        <f>KASENGA!G136+KILWA!G135+MITWABA!G135+PWETO!G135</f>
        <v>0</v>
      </c>
      <c r="H136" s="164">
        <f>KASENGA!H136+KILWA!H135+MITWABA!H135+PWETO!H135</f>
        <v>99</v>
      </c>
      <c r="I136" s="164">
        <f>KASENGA!I136+KILWA!I135+MITWABA!I135+PWETO!I135</f>
        <v>45</v>
      </c>
      <c r="J136" s="164">
        <f>KASENGA!J136+KILWA!J135+MITWABA!J135+PWETO!J135</f>
        <v>93</v>
      </c>
      <c r="K136" s="164">
        <f>KASENGA!K136+KILWA!K135+MITWABA!K135+PWETO!K135</f>
        <v>38</v>
      </c>
      <c r="L136" s="164">
        <f>KASENGA!L136+KILWA!L135+MITWABA!L135+PWETO!L135</f>
        <v>37</v>
      </c>
      <c r="M136" s="164">
        <f>KASENGA!M136+KILWA!M135+MITWABA!M135+PWETO!M135</f>
        <v>15</v>
      </c>
      <c r="N136" s="164">
        <f>KASENGA!N136+KILWA!N135+MITWABA!N135+PWETO!N135</f>
        <v>15</v>
      </c>
      <c r="O136" s="164">
        <f>KASENGA!O136+KILWA!O135+MITWABA!O135+PWETO!O135</f>
        <v>3</v>
      </c>
      <c r="P136" s="164">
        <f>KASENGA!P136+KILWA!P135+MITWABA!P135+PWETO!P135</f>
        <v>244</v>
      </c>
      <c r="Q136" s="164">
        <f>KASENGA!Q136+KILWA!Q135+MITWABA!Q135+PWETO!Q135</f>
        <v>101</v>
      </c>
      <c r="R136" s="164">
        <f>KASENGA!R136+KILWA!R135+MITWABA!R135+PWETO!R135</f>
        <v>345</v>
      </c>
    </row>
    <row r="137" spans="2:18" ht="15.6" x14ac:dyDescent="0.3">
      <c r="B137" s="182"/>
      <c r="C137" s="164" t="s">
        <v>121</v>
      </c>
      <c r="D137" s="164">
        <f>KASENGA!D137+KILWA!D136+MITWABA!D136+PWETO!D136</f>
        <v>0</v>
      </c>
      <c r="E137" s="164">
        <f>KASENGA!E137+KILWA!E136+MITWABA!E136+PWETO!E136</f>
        <v>0</v>
      </c>
      <c r="F137" s="164">
        <f>KASENGA!F137+KILWA!F136+MITWABA!F136+PWETO!F136</f>
        <v>0</v>
      </c>
      <c r="G137" s="164">
        <f>KASENGA!G137+KILWA!G136+MITWABA!G136+PWETO!G136</f>
        <v>0</v>
      </c>
      <c r="H137" s="164">
        <f>KASENGA!H137+KILWA!H136+MITWABA!H136+PWETO!H136</f>
        <v>0</v>
      </c>
      <c r="I137" s="164">
        <f>KASENGA!I137+KILWA!I136+MITWABA!I136+PWETO!I136</f>
        <v>0</v>
      </c>
      <c r="J137" s="164">
        <f>KASENGA!J137+KILWA!J136+MITWABA!J136+PWETO!J136</f>
        <v>0</v>
      </c>
      <c r="K137" s="164">
        <f>KASENGA!K137+KILWA!K136+MITWABA!K136+PWETO!K136</f>
        <v>0</v>
      </c>
      <c r="L137" s="164">
        <f>KASENGA!L137+KILWA!L136+MITWABA!L136+PWETO!L136</f>
        <v>0</v>
      </c>
      <c r="M137" s="164">
        <f>KASENGA!M137+KILWA!M136+MITWABA!M136+PWETO!M136</f>
        <v>0</v>
      </c>
      <c r="N137" s="164">
        <f>KASENGA!N137+KILWA!N136+MITWABA!N136+PWETO!N136</f>
        <v>0</v>
      </c>
      <c r="O137" s="164">
        <f>KASENGA!O137+KILWA!O136+MITWABA!O136+PWETO!O136</f>
        <v>0</v>
      </c>
      <c r="P137" s="164">
        <f>KASENGA!P137+KILWA!P136+MITWABA!P136+PWETO!P136</f>
        <v>0</v>
      </c>
      <c r="Q137" s="164">
        <f>KASENGA!Q137+KILWA!Q136+MITWABA!Q136+PWETO!Q136</f>
        <v>0</v>
      </c>
      <c r="R137" s="164">
        <f>KASENGA!R137+KILWA!R136+MITWABA!R136+PWETO!R136</f>
        <v>0</v>
      </c>
    </row>
    <row r="138" spans="2:18" ht="15.6" x14ac:dyDescent="0.3">
      <c r="B138" s="182"/>
      <c r="C138" s="164" t="s">
        <v>122</v>
      </c>
      <c r="D138" s="164">
        <f>KASENGA!D138+KILWA!D137+MITWABA!D137+PWETO!D137</f>
        <v>0</v>
      </c>
      <c r="E138" s="164">
        <f>KASENGA!E138+KILWA!E137+MITWABA!E137+PWETO!E137</f>
        <v>0</v>
      </c>
      <c r="F138" s="164">
        <f>KASENGA!F138+KILWA!F137+MITWABA!F137+PWETO!F137</f>
        <v>0</v>
      </c>
      <c r="G138" s="164">
        <f>KASENGA!G138+KILWA!G137+MITWABA!G137+PWETO!G137</f>
        <v>0</v>
      </c>
      <c r="H138" s="164">
        <f>KASENGA!H138+KILWA!H137+MITWABA!H137+PWETO!H137</f>
        <v>0</v>
      </c>
      <c r="I138" s="164">
        <f>KASENGA!I138+KILWA!I137+MITWABA!I137+PWETO!I137</f>
        <v>0</v>
      </c>
      <c r="J138" s="164">
        <f>KASENGA!J138+KILWA!J137+MITWABA!J137+PWETO!J137</f>
        <v>0</v>
      </c>
      <c r="K138" s="164">
        <f>KASENGA!K138+KILWA!K137+MITWABA!K137+PWETO!K137</f>
        <v>0</v>
      </c>
      <c r="L138" s="164">
        <f>KASENGA!L138+KILWA!L137+MITWABA!L137+PWETO!L137</f>
        <v>0</v>
      </c>
      <c r="M138" s="164">
        <f>KASENGA!M138+KILWA!M137+MITWABA!M137+PWETO!M137</f>
        <v>0</v>
      </c>
      <c r="N138" s="164">
        <f>KASENGA!N138+KILWA!N137+MITWABA!N137+PWETO!N137</f>
        <v>0</v>
      </c>
      <c r="O138" s="164">
        <f>KASENGA!O138+KILWA!O137+MITWABA!O137+PWETO!O137</f>
        <v>0</v>
      </c>
      <c r="P138" s="164">
        <f>KASENGA!P138+KILWA!P137+MITWABA!P137+PWETO!P137</f>
        <v>0</v>
      </c>
      <c r="Q138" s="164">
        <f>KASENGA!Q138+KILWA!Q137+MITWABA!Q137+PWETO!Q137</f>
        <v>0</v>
      </c>
      <c r="R138" s="164">
        <f>KASENGA!R138+KILWA!R137+MITWABA!R137+PWETO!R137</f>
        <v>0</v>
      </c>
    </row>
    <row r="139" spans="2:18" ht="15.6" x14ac:dyDescent="0.3">
      <c r="B139" s="183"/>
      <c r="C139" s="164" t="s">
        <v>123</v>
      </c>
      <c r="D139" s="164">
        <f>KASENGA!D139+KILWA!D138+MITWABA!D138+PWETO!D138</f>
        <v>0</v>
      </c>
      <c r="E139" s="164">
        <f>KASENGA!E139+KILWA!E138+MITWABA!E138+PWETO!E138</f>
        <v>0</v>
      </c>
      <c r="F139" s="164">
        <f>KASENGA!F139+KILWA!F138+MITWABA!F138+PWETO!F138</f>
        <v>0</v>
      </c>
      <c r="G139" s="164">
        <f>KASENGA!G139+KILWA!G138+MITWABA!G138+PWETO!G138</f>
        <v>0</v>
      </c>
      <c r="H139" s="164">
        <f>KASENGA!H139+KILWA!H138+MITWABA!H138+PWETO!H138</f>
        <v>0</v>
      </c>
      <c r="I139" s="164">
        <f>KASENGA!I139+KILWA!I138+MITWABA!I138+PWETO!I138</f>
        <v>0</v>
      </c>
      <c r="J139" s="164">
        <f>KASENGA!J139+KILWA!J138+MITWABA!J138+PWETO!J138</f>
        <v>0</v>
      </c>
      <c r="K139" s="164">
        <f>KASENGA!K139+KILWA!K138+MITWABA!K138+PWETO!K138</f>
        <v>0</v>
      </c>
      <c r="L139" s="164">
        <f>KASENGA!L139+KILWA!L138+MITWABA!L138+PWETO!L138</f>
        <v>0</v>
      </c>
      <c r="M139" s="164">
        <f>KASENGA!M139+KILWA!M138+MITWABA!M138+PWETO!M138</f>
        <v>0</v>
      </c>
      <c r="N139" s="164">
        <f>KASENGA!N139+KILWA!N138+MITWABA!N138+PWETO!N138</f>
        <v>0</v>
      </c>
      <c r="O139" s="164">
        <f>KASENGA!O139+KILWA!O138+MITWABA!O138+PWETO!O138</f>
        <v>0</v>
      </c>
      <c r="P139" s="164">
        <f>KASENGA!P139+KILWA!P138+MITWABA!P138+PWETO!P138</f>
        <v>0</v>
      </c>
      <c r="Q139" s="164">
        <f>KASENGA!Q139+KILWA!Q138+MITWABA!Q138+PWETO!Q138</f>
        <v>0</v>
      </c>
      <c r="R139" s="164">
        <f>KASENGA!R139+KILWA!R138+MITWABA!R138+PWETO!R138</f>
        <v>0</v>
      </c>
    </row>
    <row r="140" spans="2:18" ht="15.6" x14ac:dyDescent="0.3">
      <c r="B140" s="185" t="s">
        <v>124</v>
      </c>
      <c r="C140" s="165" t="s">
        <v>119</v>
      </c>
      <c r="D140" s="165">
        <f>KASENGA!D140+KILWA!D139+MITWABA!D139+PWETO!D139</f>
        <v>0</v>
      </c>
      <c r="E140" s="165">
        <f>KASENGA!E140+KILWA!E139+MITWABA!E139+PWETO!E139</f>
        <v>0</v>
      </c>
      <c r="F140" s="165">
        <f>KASENGA!F140+KILWA!F139+MITWABA!F139+PWETO!F139</f>
        <v>0</v>
      </c>
      <c r="G140" s="165">
        <f>KASENGA!G140+KILWA!G139+MITWABA!G139+PWETO!G139</f>
        <v>0</v>
      </c>
      <c r="H140" s="165">
        <f>KASENGA!H140+KILWA!H139+MITWABA!H139+PWETO!H139</f>
        <v>0</v>
      </c>
      <c r="I140" s="165">
        <f>KASENGA!I140+KILWA!I139+MITWABA!I139+PWETO!I139</f>
        <v>0</v>
      </c>
      <c r="J140" s="165">
        <f>KASENGA!J140+KILWA!J139+MITWABA!J139+PWETO!J139</f>
        <v>0</v>
      </c>
      <c r="K140" s="165">
        <f>KASENGA!K140+KILWA!K139+MITWABA!K139+PWETO!K139</f>
        <v>0</v>
      </c>
      <c r="L140" s="165">
        <f>KASENGA!L140+KILWA!L139+MITWABA!L139+PWETO!L139</f>
        <v>0</v>
      </c>
      <c r="M140" s="165">
        <f>KASENGA!M140+KILWA!M139+MITWABA!M139+PWETO!M139</f>
        <v>0</v>
      </c>
      <c r="N140" s="165">
        <f>KASENGA!N140+KILWA!N139+MITWABA!N139+PWETO!N139</f>
        <v>0</v>
      </c>
      <c r="O140" s="165">
        <f>KASENGA!O140+KILWA!O139+MITWABA!O139+PWETO!O139</f>
        <v>0</v>
      </c>
      <c r="P140" s="165">
        <f>KASENGA!P140+KILWA!P139+MITWABA!P139+PWETO!P139</f>
        <v>0</v>
      </c>
      <c r="Q140" s="165">
        <f>KASENGA!Q140+KILWA!Q139+MITWABA!Q139+PWETO!Q139</f>
        <v>0</v>
      </c>
      <c r="R140" s="165">
        <f>KASENGA!R140+KILWA!R139+MITWABA!R139+PWETO!R139</f>
        <v>0</v>
      </c>
    </row>
    <row r="141" spans="2:18" ht="15.6" x14ac:dyDescent="0.3">
      <c r="B141" s="186"/>
      <c r="C141" s="165" t="s">
        <v>120</v>
      </c>
      <c r="D141" s="165">
        <f>KASENGA!D141+KILWA!D140+MITWABA!D140+PWETO!D140</f>
        <v>0</v>
      </c>
      <c r="E141" s="165">
        <f>KASENGA!E141+KILWA!E140+MITWABA!E140+PWETO!E140</f>
        <v>0</v>
      </c>
      <c r="F141" s="165">
        <f>KASENGA!F141+KILWA!F140+MITWABA!F140+PWETO!F140</f>
        <v>0</v>
      </c>
      <c r="G141" s="165">
        <f>KASENGA!G141+KILWA!G140+MITWABA!G140+PWETO!G140</f>
        <v>0</v>
      </c>
      <c r="H141" s="165">
        <f>KASENGA!H141+KILWA!H140+MITWABA!H140+PWETO!H140</f>
        <v>0</v>
      </c>
      <c r="I141" s="165">
        <f>KASENGA!I141+KILWA!I140+MITWABA!I140+PWETO!I140</f>
        <v>0</v>
      </c>
      <c r="J141" s="165">
        <f>KASENGA!J141+KILWA!J140+MITWABA!J140+PWETO!J140</f>
        <v>0</v>
      </c>
      <c r="K141" s="165">
        <f>KASENGA!K141+KILWA!K140+MITWABA!K140+PWETO!K140</f>
        <v>0</v>
      </c>
      <c r="L141" s="165">
        <f>KASENGA!L141+KILWA!L140+MITWABA!L140+PWETO!L140</f>
        <v>0</v>
      </c>
      <c r="M141" s="165">
        <f>KASENGA!M141+KILWA!M140+MITWABA!M140+PWETO!M140</f>
        <v>0</v>
      </c>
      <c r="N141" s="165">
        <f>KASENGA!N141+KILWA!N140+MITWABA!N140+PWETO!N140</f>
        <v>0</v>
      </c>
      <c r="O141" s="165">
        <f>KASENGA!O141+KILWA!O140+MITWABA!O140+PWETO!O140</f>
        <v>0</v>
      </c>
      <c r="P141" s="165">
        <f>KASENGA!P141+KILWA!P140+MITWABA!P140+PWETO!P140</f>
        <v>0</v>
      </c>
      <c r="Q141" s="165">
        <f>KASENGA!Q141+KILWA!Q140+MITWABA!Q140+PWETO!Q140</f>
        <v>0</v>
      </c>
      <c r="R141" s="165">
        <f>KASENGA!R141+KILWA!R140+MITWABA!R140+PWETO!R140</f>
        <v>0</v>
      </c>
    </row>
    <row r="142" spans="2:18" ht="15.6" x14ac:dyDescent="0.3">
      <c r="B142" s="186"/>
      <c r="C142" s="165" t="s">
        <v>121</v>
      </c>
      <c r="D142" s="165">
        <f>KASENGA!D142+KILWA!D141+MITWABA!D141+PWETO!D141</f>
        <v>0</v>
      </c>
      <c r="E142" s="165">
        <f>KASENGA!E142+KILWA!E141+MITWABA!E141+PWETO!E141</f>
        <v>0</v>
      </c>
      <c r="F142" s="165">
        <f>KASENGA!F142+KILWA!F141+MITWABA!F141+PWETO!F141</f>
        <v>0</v>
      </c>
      <c r="G142" s="165">
        <f>KASENGA!G142+KILWA!G141+MITWABA!G141+PWETO!G141</f>
        <v>0</v>
      </c>
      <c r="H142" s="165">
        <f>KASENGA!H142+KILWA!H141+MITWABA!H141+PWETO!H141</f>
        <v>0</v>
      </c>
      <c r="I142" s="165">
        <f>KASENGA!I142+KILWA!I141+MITWABA!I141+PWETO!I141</f>
        <v>0</v>
      </c>
      <c r="J142" s="165">
        <f>KASENGA!J142+KILWA!J141+MITWABA!J141+PWETO!J141</f>
        <v>0</v>
      </c>
      <c r="K142" s="165">
        <f>KASENGA!K142+KILWA!K141+MITWABA!K141+PWETO!K141</f>
        <v>0</v>
      </c>
      <c r="L142" s="165">
        <f>KASENGA!L142+KILWA!L141+MITWABA!L141+PWETO!L141</f>
        <v>0</v>
      </c>
      <c r="M142" s="165">
        <f>KASENGA!M142+KILWA!M141+MITWABA!M141+PWETO!M141</f>
        <v>0</v>
      </c>
      <c r="N142" s="165">
        <f>KASENGA!N142+KILWA!N141+MITWABA!N141+PWETO!N141</f>
        <v>0</v>
      </c>
      <c r="O142" s="165">
        <f>KASENGA!O142+KILWA!O141+MITWABA!O141+PWETO!O141</f>
        <v>0</v>
      </c>
      <c r="P142" s="165">
        <f>KASENGA!P142+KILWA!P141+MITWABA!P141+PWETO!P141</f>
        <v>0</v>
      </c>
      <c r="Q142" s="165">
        <f>KASENGA!Q142+KILWA!Q141+MITWABA!Q141+PWETO!Q141</f>
        <v>0</v>
      </c>
      <c r="R142" s="165">
        <f>KASENGA!R142+KILWA!R141+MITWABA!R141+PWETO!R141</f>
        <v>0</v>
      </c>
    </row>
    <row r="143" spans="2:18" ht="15.6" x14ac:dyDescent="0.3">
      <c r="B143" s="186"/>
      <c r="C143" s="165" t="s">
        <v>122</v>
      </c>
      <c r="D143" s="165">
        <f>KASENGA!D143+KILWA!D142+MITWABA!D142+PWETO!D142</f>
        <v>0</v>
      </c>
      <c r="E143" s="165">
        <f>KASENGA!E143+KILWA!E142+MITWABA!E142+PWETO!E142</f>
        <v>0</v>
      </c>
      <c r="F143" s="165">
        <f>KASENGA!F143+KILWA!F142+MITWABA!F142+PWETO!F142</f>
        <v>0</v>
      </c>
      <c r="G143" s="165">
        <f>KASENGA!G143+KILWA!G142+MITWABA!G142+PWETO!G142</f>
        <v>0</v>
      </c>
      <c r="H143" s="165">
        <f>KASENGA!H143+KILWA!H142+MITWABA!H142+PWETO!H142</f>
        <v>0</v>
      </c>
      <c r="I143" s="165">
        <f>KASENGA!I143+KILWA!I142+MITWABA!I142+PWETO!I142</f>
        <v>0</v>
      </c>
      <c r="J143" s="165">
        <f>KASENGA!J143+KILWA!J142+MITWABA!J142+PWETO!J142</f>
        <v>0</v>
      </c>
      <c r="K143" s="165">
        <f>KASENGA!K143+KILWA!K142+MITWABA!K142+PWETO!K142</f>
        <v>0</v>
      </c>
      <c r="L143" s="165">
        <f>KASENGA!L143+KILWA!L142+MITWABA!L142+PWETO!L142</f>
        <v>0</v>
      </c>
      <c r="M143" s="165">
        <f>KASENGA!M143+KILWA!M142+MITWABA!M142+PWETO!M142</f>
        <v>0</v>
      </c>
      <c r="N143" s="165">
        <f>KASENGA!N143+KILWA!N142+MITWABA!N142+PWETO!N142</f>
        <v>0</v>
      </c>
      <c r="O143" s="165">
        <f>KASENGA!O143+KILWA!O142+MITWABA!O142+PWETO!O142</f>
        <v>0</v>
      </c>
      <c r="P143" s="165">
        <f>KASENGA!P143+KILWA!P142+MITWABA!P142+PWETO!P142</f>
        <v>0</v>
      </c>
      <c r="Q143" s="165">
        <f>KASENGA!Q143+KILWA!Q142+MITWABA!Q142+PWETO!Q142</f>
        <v>0</v>
      </c>
      <c r="R143" s="165">
        <f>KASENGA!R143+KILWA!R142+MITWABA!R142+PWETO!R142</f>
        <v>0</v>
      </c>
    </row>
    <row r="144" spans="2:18" ht="15.6" x14ac:dyDescent="0.3">
      <c r="B144" s="187"/>
      <c r="C144" s="165" t="s">
        <v>123</v>
      </c>
      <c r="D144" s="165">
        <f>KASENGA!D144+KILWA!D143+MITWABA!D143+PWETO!D143</f>
        <v>0</v>
      </c>
      <c r="E144" s="165">
        <f>KASENGA!E144+KILWA!E143+MITWABA!E143+PWETO!E143</f>
        <v>0</v>
      </c>
      <c r="F144" s="165">
        <f>KASENGA!F144+KILWA!F143+MITWABA!F143+PWETO!F143</f>
        <v>0</v>
      </c>
      <c r="G144" s="165">
        <f>KASENGA!G144+KILWA!G143+MITWABA!G143+PWETO!G143</f>
        <v>0</v>
      </c>
      <c r="H144" s="165">
        <f>KASENGA!H144+KILWA!H143+MITWABA!H143+PWETO!H143</f>
        <v>0</v>
      </c>
      <c r="I144" s="165">
        <f>KASENGA!I144+KILWA!I143+MITWABA!I143+PWETO!I143</f>
        <v>0</v>
      </c>
      <c r="J144" s="165">
        <f>KASENGA!J144+KILWA!J143+MITWABA!J143+PWETO!J143</f>
        <v>0</v>
      </c>
      <c r="K144" s="165">
        <f>KASENGA!K144+KILWA!K143+MITWABA!K143+PWETO!K143</f>
        <v>0</v>
      </c>
      <c r="L144" s="165">
        <f>KASENGA!L144+KILWA!L143+MITWABA!L143+PWETO!L143</f>
        <v>0</v>
      </c>
      <c r="M144" s="165">
        <f>KASENGA!M144+KILWA!M143+MITWABA!M143+PWETO!M143</f>
        <v>0</v>
      </c>
      <c r="N144" s="165">
        <f>KASENGA!N144+KILWA!N143+MITWABA!N143+PWETO!N143</f>
        <v>0</v>
      </c>
      <c r="O144" s="165">
        <f>KASENGA!O144+KILWA!O143+MITWABA!O143+PWETO!O143</f>
        <v>0</v>
      </c>
      <c r="P144" s="165">
        <f>KASENGA!P144+KILWA!P143+MITWABA!P143+PWETO!P143</f>
        <v>0</v>
      </c>
      <c r="Q144" s="165">
        <f>KASENGA!Q144+KILWA!Q143+MITWABA!Q143+PWETO!Q143</f>
        <v>0</v>
      </c>
      <c r="R144" s="165">
        <f>KASENGA!R144+KILWA!R143+MITWABA!R143+PWETO!R143</f>
        <v>0</v>
      </c>
    </row>
    <row r="145" spans="2:18" ht="15.6" x14ac:dyDescent="0.3">
      <c r="B145" s="185" t="s">
        <v>125</v>
      </c>
      <c r="C145" s="165" t="s">
        <v>119</v>
      </c>
      <c r="D145" s="165">
        <f>KASENGA!D145+KILWA!D144+MITWABA!D144+PWETO!D144</f>
        <v>0</v>
      </c>
      <c r="E145" s="165">
        <f>KASENGA!E145+KILWA!E144+MITWABA!E144+PWETO!E144</f>
        <v>0</v>
      </c>
      <c r="F145" s="165">
        <f>KASENGA!F145+KILWA!F144+MITWABA!F144+PWETO!F144</f>
        <v>0</v>
      </c>
      <c r="G145" s="165">
        <f>KASENGA!G145+KILWA!G144+MITWABA!G144+PWETO!G144</f>
        <v>0</v>
      </c>
      <c r="H145" s="165">
        <f>KASENGA!H145+KILWA!H144+MITWABA!H144+PWETO!H144</f>
        <v>0</v>
      </c>
      <c r="I145" s="165">
        <f>KASENGA!I145+KILWA!I144+MITWABA!I144+PWETO!I144</f>
        <v>0</v>
      </c>
      <c r="J145" s="165">
        <f>KASENGA!J145+KILWA!J144+MITWABA!J144+PWETO!J144</f>
        <v>0</v>
      </c>
      <c r="K145" s="165">
        <f>KASENGA!K145+KILWA!K144+MITWABA!K144+PWETO!K144</f>
        <v>0</v>
      </c>
      <c r="L145" s="165">
        <f>KASENGA!L145+KILWA!L144+MITWABA!L144+PWETO!L144</f>
        <v>0</v>
      </c>
      <c r="M145" s="165">
        <f>KASENGA!M145+KILWA!M144+MITWABA!M144+PWETO!M144</f>
        <v>0</v>
      </c>
      <c r="N145" s="165">
        <f>KASENGA!N145+KILWA!N144+MITWABA!N144+PWETO!N144</f>
        <v>0</v>
      </c>
      <c r="O145" s="165">
        <f>KASENGA!O145+KILWA!O144+MITWABA!O144+PWETO!O144</f>
        <v>0</v>
      </c>
      <c r="P145" s="165">
        <f>KASENGA!P145+KILWA!P144+MITWABA!P144+PWETO!P144</f>
        <v>0</v>
      </c>
      <c r="Q145" s="165">
        <f>KASENGA!Q145+KILWA!Q144+MITWABA!Q144+PWETO!Q144</f>
        <v>0</v>
      </c>
      <c r="R145" s="165">
        <f>KASENGA!R145+KILWA!R144+MITWABA!R144+PWETO!R144</f>
        <v>0</v>
      </c>
    </row>
    <row r="146" spans="2:18" ht="15.6" x14ac:dyDescent="0.3">
      <c r="B146" s="186"/>
      <c r="C146" s="165" t="s">
        <v>120</v>
      </c>
      <c r="D146" s="165">
        <f>KASENGA!D146+KILWA!D145+MITWABA!D145+PWETO!D145</f>
        <v>0</v>
      </c>
      <c r="E146" s="165">
        <f>KASENGA!E146+KILWA!E145+MITWABA!E145+PWETO!E145</f>
        <v>0</v>
      </c>
      <c r="F146" s="165">
        <f>KASENGA!F146+KILWA!F145+MITWABA!F145+PWETO!F145</f>
        <v>0</v>
      </c>
      <c r="G146" s="165">
        <f>KASENGA!G146+KILWA!G145+MITWABA!G145+PWETO!G145</f>
        <v>0</v>
      </c>
      <c r="H146" s="165">
        <f>KASENGA!H146+KILWA!H145+MITWABA!H145+PWETO!H145</f>
        <v>0</v>
      </c>
      <c r="I146" s="165">
        <f>KASENGA!I146+KILWA!I145+MITWABA!I145+PWETO!I145</f>
        <v>0</v>
      </c>
      <c r="J146" s="165">
        <f>KASENGA!J146+KILWA!J145+MITWABA!J145+PWETO!J145</f>
        <v>0</v>
      </c>
      <c r="K146" s="165">
        <f>KASENGA!K146+KILWA!K145+MITWABA!K145+PWETO!K145</f>
        <v>0</v>
      </c>
      <c r="L146" s="165">
        <f>KASENGA!L146+KILWA!L145+MITWABA!L145+PWETO!L145</f>
        <v>0</v>
      </c>
      <c r="M146" s="165">
        <f>KASENGA!M146+KILWA!M145+MITWABA!M145+PWETO!M145</f>
        <v>0</v>
      </c>
      <c r="N146" s="165">
        <f>KASENGA!N146+KILWA!N145+MITWABA!N145+PWETO!N145</f>
        <v>0</v>
      </c>
      <c r="O146" s="165">
        <f>KASENGA!O146+KILWA!O145+MITWABA!O145+PWETO!O145</f>
        <v>0</v>
      </c>
      <c r="P146" s="165">
        <f>KASENGA!P146+KILWA!P145+MITWABA!P145+PWETO!P145</f>
        <v>0</v>
      </c>
      <c r="Q146" s="165">
        <f>KASENGA!Q146+KILWA!Q145+MITWABA!Q145+PWETO!Q145</f>
        <v>0</v>
      </c>
      <c r="R146" s="165">
        <f>KASENGA!R146+KILWA!R145+MITWABA!R145+PWETO!R145</f>
        <v>0</v>
      </c>
    </row>
    <row r="147" spans="2:18" ht="15.6" x14ac:dyDescent="0.3">
      <c r="B147" s="186"/>
      <c r="C147" s="165" t="s">
        <v>121</v>
      </c>
      <c r="D147" s="165">
        <f>KASENGA!D147+KILWA!D146+MITWABA!D146+PWETO!D146</f>
        <v>0</v>
      </c>
      <c r="E147" s="165">
        <f>KASENGA!E147+KILWA!E146+MITWABA!E146+PWETO!E146</f>
        <v>0</v>
      </c>
      <c r="F147" s="165">
        <f>KASENGA!F147+KILWA!F146+MITWABA!F146+PWETO!F146</f>
        <v>0</v>
      </c>
      <c r="G147" s="165">
        <f>KASENGA!G147+KILWA!G146+MITWABA!G146+PWETO!G146</f>
        <v>0</v>
      </c>
      <c r="H147" s="165">
        <f>KASENGA!H147+KILWA!H146+MITWABA!H146+PWETO!H146</f>
        <v>0</v>
      </c>
      <c r="I147" s="165">
        <f>KASENGA!I147+KILWA!I146+MITWABA!I146+PWETO!I146</f>
        <v>0</v>
      </c>
      <c r="J147" s="165">
        <f>KASENGA!J147+KILWA!J146+MITWABA!J146+PWETO!J146</f>
        <v>0</v>
      </c>
      <c r="K147" s="165">
        <f>KASENGA!K147+KILWA!K146+MITWABA!K146+PWETO!K146</f>
        <v>0</v>
      </c>
      <c r="L147" s="165">
        <f>KASENGA!L147+KILWA!L146+MITWABA!L146+PWETO!L146</f>
        <v>0</v>
      </c>
      <c r="M147" s="165">
        <f>KASENGA!M147+KILWA!M146+MITWABA!M146+PWETO!M146</f>
        <v>0</v>
      </c>
      <c r="N147" s="165">
        <f>KASENGA!N147+KILWA!N146+MITWABA!N146+PWETO!N146</f>
        <v>0</v>
      </c>
      <c r="O147" s="165">
        <f>KASENGA!O147+KILWA!O146+MITWABA!O146+PWETO!O146</f>
        <v>0</v>
      </c>
      <c r="P147" s="165">
        <f>KASENGA!P147+KILWA!P146+MITWABA!P146+PWETO!P146</f>
        <v>0</v>
      </c>
      <c r="Q147" s="165">
        <f>KASENGA!Q147+KILWA!Q146+MITWABA!Q146+PWETO!Q146</f>
        <v>0</v>
      </c>
      <c r="R147" s="165">
        <f>KASENGA!R147+KILWA!R146+MITWABA!R146+PWETO!R146</f>
        <v>0</v>
      </c>
    </row>
    <row r="148" spans="2:18" ht="15.6" x14ac:dyDescent="0.3">
      <c r="B148" s="186"/>
      <c r="C148" s="165" t="s">
        <v>122</v>
      </c>
      <c r="D148" s="165">
        <f>KASENGA!D148+KILWA!D147+MITWABA!D147+PWETO!D147</f>
        <v>0</v>
      </c>
      <c r="E148" s="165">
        <f>KASENGA!E148+KILWA!E147+MITWABA!E147+PWETO!E147</f>
        <v>0</v>
      </c>
      <c r="F148" s="165">
        <f>KASENGA!F148+KILWA!F147+MITWABA!F147+PWETO!F147</f>
        <v>0</v>
      </c>
      <c r="G148" s="165">
        <f>KASENGA!G148+KILWA!G147+MITWABA!G147+PWETO!G147</f>
        <v>0</v>
      </c>
      <c r="H148" s="165">
        <f>KASENGA!H148+KILWA!H147+MITWABA!H147+PWETO!H147</f>
        <v>0</v>
      </c>
      <c r="I148" s="165">
        <f>KASENGA!I148+KILWA!I147+MITWABA!I147+PWETO!I147</f>
        <v>0</v>
      </c>
      <c r="J148" s="165">
        <f>KASENGA!J148+KILWA!J147+MITWABA!J147+PWETO!J147</f>
        <v>0</v>
      </c>
      <c r="K148" s="165">
        <f>KASENGA!K148+KILWA!K147+MITWABA!K147+PWETO!K147</f>
        <v>0</v>
      </c>
      <c r="L148" s="165">
        <f>KASENGA!L148+KILWA!L147+MITWABA!L147+PWETO!L147</f>
        <v>0</v>
      </c>
      <c r="M148" s="165">
        <f>KASENGA!M148+KILWA!M147+MITWABA!M147+PWETO!M147</f>
        <v>0</v>
      </c>
      <c r="N148" s="165">
        <f>KASENGA!N148+KILWA!N147+MITWABA!N147+PWETO!N147</f>
        <v>0</v>
      </c>
      <c r="O148" s="165">
        <f>KASENGA!O148+KILWA!O147+MITWABA!O147+PWETO!O147</f>
        <v>0</v>
      </c>
      <c r="P148" s="165">
        <f>KASENGA!P148+KILWA!P147+MITWABA!P147+PWETO!P147</f>
        <v>0</v>
      </c>
      <c r="Q148" s="165">
        <f>KASENGA!Q148+KILWA!Q147+MITWABA!Q147+PWETO!Q147</f>
        <v>0</v>
      </c>
      <c r="R148" s="165">
        <f>KASENGA!R148+KILWA!R147+MITWABA!R147+PWETO!R147</f>
        <v>0</v>
      </c>
    </row>
    <row r="149" spans="2:18" ht="15.6" x14ac:dyDescent="0.3">
      <c r="B149" s="187"/>
      <c r="C149" s="165" t="s">
        <v>123</v>
      </c>
      <c r="D149" s="165">
        <f>KASENGA!D149+KILWA!D148+MITWABA!D148+PWETO!D148</f>
        <v>0</v>
      </c>
      <c r="E149" s="165">
        <f>KASENGA!E149+KILWA!E148+MITWABA!E148+PWETO!E148</f>
        <v>0</v>
      </c>
      <c r="F149" s="165">
        <f>KASENGA!F149+KILWA!F148+MITWABA!F148+PWETO!F148</f>
        <v>0</v>
      </c>
      <c r="G149" s="165">
        <f>KASENGA!G149+KILWA!G148+MITWABA!G148+PWETO!G148</f>
        <v>0</v>
      </c>
      <c r="H149" s="165">
        <f>KASENGA!H149+KILWA!H148+MITWABA!H148+PWETO!H148</f>
        <v>0</v>
      </c>
      <c r="I149" s="165">
        <f>KASENGA!I149+KILWA!I148+MITWABA!I148+PWETO!I148</f>
        <v>0</v>
      </c>
      <c r="J149" s="165">
        <f>KASENGA!J149+KILWA!J148+MITWABA!J148+PWETO!J148</f>
        <v>0</v>
      </c>
      <c r="K149" s="165">
        <f>KASENGA!K149+KILWA!K148+MITWABA!K148+PWETO!K148</f>
        <v>0</v>
      </c>
      <c r="L149" s="165">
        <f>KASENGA!L149+KILWA!L148+MITWABA!L148+PWETO!L148</f>
        <v>0</v>
      </c>
      <c r="M149" s="165">
        <f>KASENGA!M149+KILWA!M148+MITWABA!M148+PWETO!M148</f>
        <v>0</v>
      </c>
      <c r="N149" s="165">
        <f>KASENGA!N149+KILWA!N148+MITWABA!N148+PWETO!N148</f>
        <v>0</v>
      </c>
      <c r="O149" s="165">
        <f>KASENGA!O149+KILWA!O148+MITWABA!O148+PWETO!O148</f>
        <v>0</v>
      </c>
      <c r="P149" s="165">
        <f>KASENGA!P149+KILWA!P148+MITWABA!P148+PWETO!P148</f>
        <v>0</v>
      </c>
      <c r="Q149" s="165">
        <f>KASENGA!Q149+KILWA!Q148+MITWABA!Q148+PWETO!Q148</f>
        <v>0</v>
      </c>
      <c r="R149" s="165">
        <f>KASENGA!R149+KILWA!R148+MITWABA!R148+PWETO!R148</f>
        <v>0</v>
      </c>
    </row>
    <row r="150" spans="2:18" ht="15.6" x14ac:dyDescent="0.3">
      <c r="B150" s="185" t="s">
        <v>126</v>
      </c>
      <c r="C150" s="165" t="s">
        <v>119</v>
      </c>
      <c r="D150" s="165">
        <f>KASENGA!D150+KILWA!D149+MITWABA!D149+PWETO!D149</f>
        <v>0</v>
      </c>
      <c r="E150" s="165">
        <f>KASENGA!E150+KILWA!E149+MITWABA!E149+PWETO!E149</f>
        <v>0</v>
      </c>
      <c r="F150" s="165">
        <f>KASENGA!F150+KILWA!F149+MITWABA!F149+PWETO!F149</f>
        <v>0</v>
      </c>
      <c r="G150" s="165">
        <f>KASENGA!G150+KILWA!G149+MITWABA!G149+PWETO!G149</f>
        <v>0</v>
      </c>
      <c r="H150" s="165">
        <f>KASENGA!H150+KILWA!H149+MITWABA!H149+PWETO!H149</f>
        <v>0</v>
      </c>
      <c r="I150" s="165">
        <f>KASENGA!I150+KILWA!I149+MITWABA!I149+PWETO!I149</f>
        <v>0</v>
      </c>
      <c r="J150" s="165">
        <f>KASENGA!J150+KILWA!J149+MITWABA!J149+PWETO!J149</f>
        <v>0</v>
      </c>
      <c r="K150" s="165">
        <f>KASENGA!K150+KILWA!K149+MITWABA!K149+PWETO!K149</f>
        <v>0</v>
      </c>
      <c r="L150" s="165">
        <f>KASENGA!L150+KILWA!L149+MITWABA!L149+PWETO!L149</f>
        <v>0</v>
      </c>
      <c r="M150" s="165">
        <f>KASENGA!M150+KILWA!M149+MITWABA!M149+PWETO!M149</f>
        <v>0</v>
      </c>
      <c r="N150" s="165">
        <f>KASENGA!N150+KILWA!N149+MITWABA!N149+PWETO!N149</f>
        <v>0</v>
      </c>
      <c r="O150" s="165">
        <f>KASENGA!O150+KILWA!O149+MITWABA!O149+PWETO!O149</f>
        <v>0</v>
      </c>
      <c r="P150" s="165">
        <f>KASENGA!P150+KILWA!P149+MITWABA!P149+PWETO!P149</f>
        <v>0</v>
      </c>
      <c r="Q150" s="165">
        <f>KASENGA!Q150+KILWA!Q149+MITWABA!Q149+PWETO!Q149</f>
        <v>0</v>
      </c>
      <c r="R150" s="165">
        <f>KASENGA!R150+KILWA!R149+MITWABA!R149+PWETO!R149</f>
        <v>0</v>
      </c>
    </row>
    <row r="151" spans="2:18" ht="15.6" x14ac:dyDescent="0.3">
      <c r="B151" s="186"/>
      <c r="C151" s="165" t="s">
        <v>120</v>
      </c>
      <c r="D151" s="165">
        <f>KASENGA!D151+KILWA!D150+MITWABA!D150+PWETO!D150</f>
        <v>0</v>
      </c>
      <c r="E151" s="165">
        <f>KASENGA!E151+KILWA!E150+MITWABA!E150+PWETO!E150</f>
        <v>0</v>
      </c>
      <c r="F151" s="165">
        <f>KASENGA!F151+KILWA!F150+MITWABA!F150+PWETO!F150</f>
        <v>0</v>
      </c>
      <c r="G151" s="165">
        <f>KASENGA!G151+KILWA!G150+MITWABA!G150+PWETO!G150</f>
        <v>0</v>
      </c>
      <c r="H151" s="165">
        <f>KASENGA!H151+KILWA!H150+MITWABA!H150+PWETO!H150</f>
        <v>0</v>
      </c>
      <c r="I151" s="165">
        <f>KASENGA!I151+KILWA!I150+MITWABA!I150+PWETO!I150</f>
        <v>0</v>
      </c>
      <c r="J151" s="165">
        <f>KASENGA!J151+KILWA!J150+MITWABA!J150+PWETO!J150</f>
        <v>0</v>
      </c>
      <c r="K151" s="165">
        <f>KASENGA!K151+KILWA!K150+MITWABA!K150+PWETO!K150</f>
        <v>0</v>
      </c>
      <c r="L151" s="165">
        <f>KASENGA!L151+KILWA!L150+MITWABA!L150+PWETO!L150</f>
        <v>0</v>
      </c>
      <c r="M151" s="165">
        <f>KASENGA!M151+KILWA!M150+MITWABA!M150+PWETO!M150</f>
        <v>0</v>
      </c>
      <c r="N151" s="165">
        <f>KASENGA!N151+KILWA!N150+MITWABA!N150+PWETO!N150</f>
        <v>0</v>
      </c>
      <c r="O151" s="165">
        <f>KASENGA!O151+KILWA!O150+MITWABA!O150+PWETO!O150</f>
        <v>0</v>
      </c>
      <c r="P151" s="165">
        <f>KASENGA!P151+KILWA!P150+MITWABA!P150+PWETO!P150</f>
        <v>0</v>
      </c>
      <c r="Q151" s="165">
        <f>KASENGA!Q151+KILWA!Q150+MITWABA!Q150+PWETO!Q150</f>
        <v>0</v>
      </c>
      <c r="R151" s="165">
        <f>KASENGA!R151+KILWA!R150+MITWABA!R150+PWETO!R150</f>
        <v>0</v>
      </c>
    </row>
    <row r="152" spans="2:18" ht="15.6" x14ac:dyDescent="0.3">
      <c r="B152" s="186"/>
      <c r="C152" s="165" t="s">
        <v>121</v>
      </c>
      <c r="D152" s="165">
        <f>KASENGA!D152+KILWA!D151+MITWABA!D151+PWETO!D151</f>
        <v>0</v>
      </c>
      <c r="E152" s="165">
        <f>KASENGA!E152+KILWA!E151+MITWABA!E151+PWETO!E151</f>
        <v>0</v>
      </c>
      <c r="F152" s="165">
        <f>KASENGA!F152+KILWA!F151+MITWABA!F151+PWETO!F151</f>
        <v>0</v>
      </c>
      <c r="G152" s="165">
        <f>KASENGA!G152+KILWA!G151+MITWABA!G151+PWETO!G151</f>
        <v>0</v>
      </c>
      <c r="H152" s="165">
        <f>KASENGA!H152+KILWA!H151+MITWABA!H151+PWETO!H151</f>
        <v>0</v>
      </c>
      <c r="I152" s="165">
        <f>KASENGA!I152+KILWA!I151+MITWABA!I151+PWETO!I151</f>
        <v>0</v>
      </c>
      <c r="J152" s="165">
        <f>KASENGA!J152+KILWA!J151+MITWABA!J151+PWETO!J151</f>
        <v>0</v>
      </c>
      <c r="K152" s="165">
        <f>KASENGA!K152+KILWA!K151+MITWABA!K151+PWETO!K151</f>
        <v>0</v>
      </c>
      <c r="L152" s="165">
        <f>KASENGA!L152+KILWA!L151+MITWABA!L151+PWETO!L151</f>
        <v>0</v>
      </c>
      <c r="M152" s="165">
        <f>KASENGA!M152+KILWA!M151+MITWABA!M151+PWETO!M151</f>
        <v>0</v>
      </c>
      <c r="N152" s="165">
        <f>KASENGA!N152+KILWA!N151+MITWABA!N151+PWETO!N151</f>
        <v>0</v>
      </c>
      <c r="O152" s="165">
        <f>KASENGA!O152+KILWA!O151+MITWABA!O151+PWETO!O151</f>
        <v>0</v>
      </c>
      <c r="P152" s="165">
        <f>KASENGA!P152+KILWA!P151+MITWABA!P151+PWETO!P151</f>
        <v>0</v>
      </c>
      <c r="Q152" s="165">
        <f>KASENGA!Q152+KILWA!Q151+MITWABA!Q151+PWETO!Q151</f>
        <v>0</v>
      </c>
      <c r="R152" s="165">
        <f>KASENGA!R152+KILWA!R151+MITWABA!R151+PWETO!R151</f>
        <v>0</v>
      </c>
    </row>
    <row r="153" spans="2:18" ht="15.6" x14ac:dyDescent="0.3">
      <c r="B153" s="186"/>
      <c r="C153" s="165" t="s">
        <v>122</v>
      </c>
      <c r="D153" s="165">
        <f>KASENGA!D153+KILWA!D152+MITWABA!D152+PWETO!D152</f>
        <v>0</v>
      </c>
      <c r="E153" s="165">
        <f>KASENGA!E153+KILWA!E152+MITWABA!E152+PWETO!E152</f>
        <v>0</v>
      </c>
      <c r="F153" s="165">
        <f>KASENGA!F153+KILWA!F152+MITWABA!F152+PWETO!F152</f>
        <v>0</v>
      </c>
      <c r="G153" s="165">
        <f>KASENGA!G153+KILWA!G152+MITWABA!G152+PWETO!G152</f>
        <v>0</v>
      </c>
      <c r="H153" s="165">
        <f>KASENGA!H153+KILWA!H152+MITWABA!H152+PWETO!H152</f>
        <v>0</v>
      </c>
      <c r="I153" s="165">
        <f>KASENGA!I153+KILWA!I152+MITWABA!I152+PWETO!I152</f>
        <v>0</v>
      </c>
      <c r="J153" s="165">
        <f>KASENGA!J153+KILWA!J152+MITWABA!J152+PWETO!J152</f>
        <v>0</v>
      </c>
      <c r="K153" s="165">
        <f>KASENGA!K153+KILWA!K152+MITWABA!K152+PWETO!K152</f>
        <v>0</v>
      </c>
      <c r="L153" s="165">
        <f>KASENGA!L153+KILWA!L152+MITWABA!L152+PWETO!L152</f>
        <v>0</v>
      </c>
      <c r="M153" s="165">
        <f>KASENGA!M153+KILWA!M152+MITWABA!M152+PWETO!M152</f>
        <v>0</v>
      </c>
      <c r="N153" s="165">
        <f>KASENGA!N153+KILWA!N152+MITWABA!N152+PWETO!N152</f>
        <v>0</v>
      </c>
      <c r="O153" s="165">
        <f>KASENGA!O153+KILWA!O152+MITWABA!O152+PWETO!O152</f>
        <v>0</v>
      </c>
      <c r="P153" s="165">
        <f>KASENGA!P153+KILWA!P152+MITWABA!P152+PWETO!P152</f>
        <v>0</v>
      </c>
      <c r="Q153" s="165">
        <f>KASENGA!Q153+KILWA!Q152+MITWABA!Q152+PWETO!Q152</f>
        <v>0</v>
      </c>
      <c r="R153" s="165">
        <f>KASENGA!R153+KILWA!R152+MITWABA!R152+PWETO!R152</f>
        <v>0</v>
      </c>
    </row>
    <row r="154" spans="2:18" ht="15.6" x14ac:dyDescent="0.3">
      <c r="B154" s="187"/>
      <c r="C154" s="165" t="s">
        <v>123</v>
      </c>
      <c r="D154" s="165">
        <f>KASENGA!D154+KILWA!D153+MITWABA!D153+PWETO!D153</f>
        <v>0</v>
      </c>
      <c r="E154" s="165">
        <f>KASENGA!E154+KILWA!E153+MITWABA!E153+PWETO!E153</f>
        <v>0</v>
      </c>
      <c r="F154" s="165">
        <f>KASENGA!F154+KILWA!F153+MITWABA!F153+PWETO!F153</f>
        <v>0</v>
      </c>
      <c r="G154" s="165">
        <f>KASENGA!G154+KILWA!G153+MITWABA!G153+PWETO!G153</f>
        <v>0</v>
      </c>
      <c r="H154" s="165">
        <f>KASENGA!H154+KILWA!H153+MITWABA!H153+PWETO!H153</f>
        <v>0</v>
      </c>
      <c r="I154" s="165">
        <f>KASENGA!I154+KILWA!I153+MITWABA!I153+PWETO!I153</f>
        <v>0</v>
      </c>
      <c r="J154" s="165">
        <f>KASENGA!J154+KILWA!J153+MITWABA!J153+PWETO!J153</f>
        <v>0</v>
      </c>
      <c r="K154" s="165">
        <f>KASENGA!K154+KILWA!K153+MITWABA!K153+PWETO!K153</f>
        <v>0</v>
      </c>
      <c r="L154" s="165">
        <f>KASENGA!L154+KILWA!L153+MITWABA!L153+PWETO!L153</f>
        <v>0</v>
      </c>
      <c r="M154" s="165">
        <f>KASENGA!M154+KILWA!M153+MITWABA!M153+PWETO!M153</f>
        <v>0</v>
      </c>
      <c r="N154" s="165">
        <f>KASENGA!N154+KILWA!N153+MITWABA!N153+PWETO!N153</f>
        <v>0</v>
      </c>
      <c r="O154" s="165">
        <f>KASENGA!O154+KILWA!O153+MITWABA!O153+PWETO!O153</f>
        <v>0</v>
      </c>
      <c r="P154" s="165">
        <f>KASENGA!P154+KILWA!P153+MITWABA!P153+PWETO!P153</f>
        <v>0</v>
      </c>
      <c r="Q154" s="165">
        <f>KASENGA!Q154+KILWA!Q153+MITWABA!Q153+PWETO!Q153</f>
        <v>0</v>
      </c>
      <c r="R154" s="165">
        <f>KASENGA!R154+KILWA!R153+MITWABA!R153+PWETO!R153</f>
        <v>0</v>
      </c>
    </row>
    <row r="155" spans="2:18" ht="15.6" x14ac:dyDescent="0.3">
      <c r="B155" s="181" t="s">
        <v>127</v>
      </c>
      <c r="C155" s="164" t="s">
        <v>119</v>
      </c>
      <c r="D155" s="164">
        <f>KASENGA!D155+KILWA!D154+MITWABA!D154+PWETO!D154</f>
        <v>110</v>
      </c>
      <c r="E155" s="164">
        <f>KASENGA!E155+KILWA!E154+MITWABA!E154+PWETO!E154</f>
        <v>111</v>
      </c>
      <c r="F155" s="164">
        <f>KASENGA!F155+KILWA!F154+MITWABA!F154+PWETO!F154</f>
        <v>138</v>
      </c>
      <c r="G155" s="164">
        <f>KASENGA!G155+KILWA!G154+MITWABA!G154+PWETO!G154</f>
        <v>102</v>
      </c>
      <c r="H155" s="164">
        <f>KASENGA!H155+KILWA!H154+MITWABA!H154+PWETO!H154</f>
        <v>0</v>
      </c>
      <c r="I155" s="164">
        <f>KASENGA!I155+KILWA!I154+MITWABA!I154+PWETO!I154</f>
        <v>0</v>
      </c>
      <c r="J155" s="164">
        <f>KASENGA!J155+KILWA!J154+MITWABA!J154+PWETO!J154</f>
        <v>0</v>
      </c>
      <c r="K155" s="164">
        <f>KASENGA!K155+KILWA!K154+MITWABA!K154+PWETO!K154</f>
        <v>0</v>
      </c>
      <c r="L155" s="164">
        <f>KASENGA!L155+KILWA!L154+MITWABA!L154+PWETO!L154</f>
        <v>0</v>
      </c>
      <c r="M155" s="164">
        <f>KASENGA!M155+KILWA!M154+MITWABA!M154+PWETO!M154</f>
        <v>0</v>
      </c>
      <c r="N155" s="164">
        <f>KASENGA!N155+KILWA!N154+MITWABA!N154+PWETO!N154</f>
        <v>0</v>
      </c>
      <c r="O155" s="164">
        <f>KASENGA!O155+KILWA!O154+MITWABA!O154+PWETO!O154</f>
        <v>0</v>
      </c>
      <c r="P155" s="164">
        <f>KASENGA!P155+KILWA!P154+MITWABA!P154+PWETO!P154</f>
        <v>248</v>
      </c>
      <c r="Q155" s="164">
        <f>KASENGA!Q155+KILWA!Q154+MITWABA!Q154+PWETO!Q154</f>
        <v>213</v>
      </c>
      <c r="R155" s="164">
        <f>KASENGA!R155+KILWA!R154+MITWABA!R154+PWETO!R154</f>
        <v>461</v>
      </c>
    </row>
    <row r="156" spans="2:18" ht="15.6" x14ac:dyDescent="0.3">
      <c r="B156" s="182"/>
      <c r="C156" s="164" t="s">
        <v>120</v>
      </c>
      <c r="D156" s="164">
        <f>KASENGA!D156+KILWA!D155+MITWABA!D155+PWETO!D155</f>
        <v>0</v>
      </c>
      <c r="E156" s="164">
        <f>KASENGA!E156+KILWA!E155+MITWABA!E155+PWETO!E155</f>
        <v>0</v>
      </c>
      <c r="F156" s="164">
        <f>KASENGA!F156+KILWA!F155+MITWABA!F155+PWETO!F155</f>
        <v>0</v>
      </c>
      <c r="G156" s="164">
        <f>KASENGA!G156+KILWA!G155+MITWABA!G155+PWETO!G155</f>
        <v>0</v>
      </c>
      <c r="H156" s="164">
        <f>KASENGA!H156+KILWA!H155+MITWABA!H155+PWETO!H155</f>
        <v>74</v>
      </c>
      <c r="I156" s="164">
        <f>KASENGA!I156+KILWA!I155+MITWABA!I155+PWETO!I155</f>
        <v>39</v>
      </c>
      <c r="J156" s="164">
        <f>KASENGA!J156+KILWA!J155+MITWABA!J155+PWETO!J155</f>
        <v>64</v>
      </c>
      <c r="K156" s="164">
        <f>KASENGA!K156+KILWA!K155+MITWABA!K155+PWETO!K155</f>
        <v>23</v>
      </c>
      <c r="L156" s="164">
        <f>KASENGA!L156+KILWA!L155+MITWABA!L155+PWETO!L155</f>
        <v>56</v>
      </c>
      <c r="M156" s="164">
        <f>KASENGA!M156+KILWA!M155+MITWABA!M155+PWETO!M155</f>
        <v>28</v>
      </c>
      <c r="N156" s="164">
        <f>KASENGA!N156+KILWA!N155+MITWABA!N155+PWETO!N155</f>
        <v>56</v>
      </c>
      <c r="O156" s="164">
        <f>KASENGA!O156+KILWA!O155+MITWABA!O155+PWETO!O155</f>
        <v>34</v>
      </c>
      <c r="P156" s="164">
        <f>KASENGA!P156+KILWA!P155+MITWABA!P155+PWETO!P155</f>
        <v>250</v>
      </c>
      <c r="Q156" s="164">
        <f>KASENGA!Q156+KILWA!Q155+MITWABA!Q155+PWETO!Q155</f>
        <v>124</v>
      </c>
      <c r="R156" s="164">
        <f>KASENGA!R156+KILWA!R155+MITWABA!R155+PWETO!R155</f>
        <v>374</v>
      </c>
    </row>
    <row r="157" spans="2:18" ht="15.6" x14ac:dyDescent="0.3">
      <c r="B157" s="182"/>
      <c r="C157" s="164" t="s">
        <v>121</v>
      </c>
      <c r="D157" s="164">
        <f>KASENGA!D157+KILWA!D156+MITWABA!D156+PWETO!D156</f>
        <v>0</v>
      </c>
      <c r="E157" s="164">
        <f>KASENGA!E157+KILWA!E156+MITWABA!E156+PWETO!E156</f>
        <v>0</v>
      </c>
      <c r="F157" s="164">
        <f>KASENGA!F157+KILWA!F156+MITWABA!F156+PWETO!F156</f>
        <v>0</v>
      </c>
      <c r="G157" s="164">
        <f>KASENGA!G157+KILWA!G156+MITWABA!G156+PWETO!G156</f>
        <v>0</v>
      </c>
      <c r="H157" s="164">
        <f>KASENGA!H157+KILWA!H156+MITWABA!H156+PWETO!H156</f>
        <v>0</v>
      </c>
      <c r="I157" s="164">
        <f>KASENGA!I157+KILWA!I156+MITWABA!I156+PWETO!I156</f>
        <v>0</v>
      </c>
      <c r="J157" s="164">
        <f>KASENGA!J157+KILWA!J156+MITWABA!J156+PWETO!J156</f>
        <v>0</v>
      </c>
      <c r="K157" s="164">
        <f>KASENGA!K157+KILWA!K156+MITWABA!K156+PWETO!K156</f>
        <v>0</v>
      </c>
      <c r="L157" s="164">
        <f>KASENGA!L157+KILWA!L156+MITWABA!L156+PWETO!L156</f>
        <v>0</v>
      </c>
      <c r="M157" s="164">
        <f>KASENGA!M157+KILWA!M156+MITWABA!M156+PWETO!M156</f>
        <v>0</v>
      </c>
      <c r="N157" s="164">
        <f>KASENGA!N157+KILWA!N156+MITWABA!N156+PWETO!N156</f>
        <v>0</v>
      </c>
      <c r="O157" s="164">
        <f>KASENGA!O157+KILWA!O156+MITWABA!O156+PWETO!O156</f>
        <v>0</v>
      </c>
      <c r="P157" s="164">
        <f>KASENGA!P157+KILWA!P156+MITWABA!P156+PWETO!P156</f>
        <v>0</v>
      </c>
      <c r="Q157" s="164">
        <f>KASENGA!Q157+KILWA!Q156+MITWABA!Q156+PWETO!Q156</f>
        <v>0</v>
      </c>
      <c r="R157" s="164">
        <f>KASENGA!R157+KILWA!R156+MITWABA!R156+PWETO!R156</f>
        <v>0</v>
      </c>
    </row>
    <row r="158" spans="2:18" ht="15.6" x14ac:dyDescent="0.3">
      <c r="B158" s="182"/>
      <c r="C158" s="164" t="s">
        <v>122</v>
      </c>
      <c r="D158" s="164">
        <f>KASENGA!D158+KILWA!D157+MITWABA!D157+PWETO!D157</f>
        <v>0</v>
      </c>
      <c r="E158" s="164">
        <f>KASENGA!E158+KILWA!E157+MITWABA!E157+PWETO!E157</f>
        <v>0</v>
      </c>
      <c r="F158" s="164">
        <f>KASENGA!F158+KILWA!F157+MITWABA!F157+PWETO!F157</f>
        <v>0</v>
      </c>
      <c r="G158" s="164">
        <f>KASENGA!G158+KILWA!G157+MITWABA!G157+PWETO!G157</f>
        <v>0</v>
      </c>
      <c r="H158" s="164">
        <f>KASENGA!H158+KILWA!H157+MITWABA!H157+PWETO!H157</f>
        <v>0</v>
      </c>
      <c r="I158" s="164">
        <f>KASENGA!I158+KILWA!I157+MITWABA!I157+PWETO!I157</f>
        <v>0</v>
      </c>
      <c r="J158" s="164">
        <f>KASENGA!J158+KILWA!J157+MITWABA!J157+PWETO!J157</f>
        <v>0</v>
      </c>
      <c r="K158" s="164">
        <f>KASENGA!K158+KILWA!K157+MITWABA!K157+PWETO!K157</f>
        <v>0</v>
      </c>
      <c r="L158" s="164">
        <f>KASENGA!L158+KILWA!L157+MITWABA!L157+PWETO!L157</f>
        <v>0</v>
      </c>
      <c r="M158" s="164">
        <f>KASENGA!M158+KILWA!M157+MITWABA!M157+PWETO!M157</f>
        <v>0</v>
      </c>
      <c r="N158" s="164">
        <f>KASENGA!N158+KILWA!N157+MITWABA!N157+PWETO!N157</f>
        <v>0</v>
      </c>
      <c r="O158" s="164">
        <f>KASENGA!O158+KILWA!O157+MITWABA!O157+PWETO!O157</f>
        <v>0</v>
      </c>
      <c r="P158" s="164">
        <f>KASENGA!P158+KILWA!P157+MITWABA!P157+PWETO!P157</f>
        <v>0</v>
      </c>
      <c r="Q158" s="164">
        <f>KASENGA!Q158+KILWA!Q157+MITWABA!Q157+PWETO!Q157</f>
        <v>0</v>
      </c>
      <c r="R158" s="164">
        <f>KASENGA!R158+KILWA!R157+MITWABA!R157+PWETO!R157</f>
        <v>0</v>
      </c>
    </row>
    <row r="159" spans="2:18" ht="15.6" x14ac:dyDescent="0.3">
      <c r="B159" s="183"/>
      <c r="C159" s="164" t="s">
        <v>123</v>
      </c>
      <c r="D159" s="164">
        <f>KASENGA!D159+KILWA!D158+MITWABA!D158+PWETO!D158</f>
        <v>0</v>
      </c>
      <c r="E159" s="164">
        <f>KASENGA!E159+KILWA!E158+MITWABA!E158+PWETO!E158</f>
        <v>0</v>
      </c>
      <c r="F159" s="164">
        <f>KASENGA!F159+KILWA!F158+MITWABA!F158+PWETO!F158</f>
        <v>0</v>
      </c>
      <c r="G159" s="164">
        <f>KASENGA!G159+KILWA!G158+MITWABA!G158+PWETO!G158</f>
        <v>0</v>
      </c>
      <c r="H159" s="164">
        <f>KASENGA!H159+KILWA!H158+MITWABA!H158+PWETO!H158</f>
        <v>0</v>
      </c>
      <c r="I159" s="164">
        <f>KASENGA!I159+KILWA!I158+MITWABA!I158+PWETO!I158</f>
        <v>0</v>
      </c>
      <c r="J159" s="164">
        <f>KASENGA!J159+KILWA!J158+MITWABA!J158+PWETO!J158</f>
        <v>0</v>
      </c>
      <c r="K159" s="164">
        <f>KASENGA!K159+KILWA!K158+MITWABA!K158+PWETO!K158</f>
        <v>0</v>
      </c>
      <c r="L159" s="164">
        <f>KASENGA!L159+KILWA!L158+MITWABA!L158+PWETO!L158</f>
        <v>0</v>
      </c>
      <c r="M159" s="164">
        <f>KASENGA!M159+KILWA!M158+MITWABA!M158+PWETO!M158</f>
        <v>0</v>
      </c>
      <c r="N159" s="164">
        <f>KASENGA!N159+KILWA!N158+MITWABA!N158+PWETO!N158</f>
        <v>0</v>
      </c>
      <c r="O159" s="164">
        <f>KASENGA!O159+KILWA!O158+MITWABA!O158+PWETO!O158</f>
        <v>0</v>
      </c>
      <c r="P159" s="164">
        <f>KASENGA!P159+KILWA!P158+MITWABA!P158+PWETO!P158</f>
        <v>0</v>
      </c>
      <c r="Q159" s="164">
        <f>KASENGA!Q159+KILWA!Q158+MITWABA!Q158+PWETO!Q158</f>
        <v>0</v>
      </c>
      <c r="R159" s="164">
        <f>KASENGA!R159+KILWA!R158+MITWABA!R158+PWETO!R158</f>
        <v>0</v>
      </c>
    </row>
    <row r="160" spans="2:18" ht="15.6" x14ac:dyDescent="0.3">
      <c r="B160" s="181" t="s">
        <v>128</v>
      </c>
      <c r="C160" s="164" t="s">
        <v>119</v>
      </c>
      <c r="D160" s="164">
        <f>KASENGA!D160+KILWA!D159+MITWABA!D159+PWETO!D159</f>
        <v>138</v>
      </c>
      <c r="E160" s="164">
        <f>KASENGA!E160+KILWA!E159+MITWABA!E159+PWETO!E159</f>
        <v>144</v>
      </c>
      <c r="F160" s="164">
        <f>KASENGA!F160+KILWA!F159+MITWABA!F159+PWETO!F159</f>
        <v>136</v>
      </c>
      <c r="G160" s="164">
        <f>KASENGA!G160+KILWA!G159+MITWABA!G159+PWETO!G159</f>
        <v>143</v>
      </c>
      <c r="H160" s="164">
        <f>KASENGA!H160+KILWA!H159+MITWABA!H159+PWETO!H159</f>
        <v>0</v>
      </c>
      <c r="I160" s="164">
        <f>KASENGA!I160+KILWA!I159+MITWABA!I159+PWETO!I159</f>
        <v>0</v>
      </c>
      <c r="J160" s="164">
        <f>KASENGA!J160+KILWA!J159+MITWABA!J159+PWETO!J159</f>
        <v>0</v>
      </c>
      <c r="K160" s="164">
        <f>KASENGA!K160+KILWA!K159+MITWABA!K159+PWETO!K159</f>
        <v>0</v>
      </c>
      <c r="L160" s="164">
        <f>KASENGA!L160+KILWA!L159+MITWABA!L159+PWETO!L159</f>
        <v>0</v>
      </c>
      <c r="M160" s="164">
        <f>KASENGA!M160+KILWA!M159+MITWABA!M159+PWETO!M159</f>
        <v>0</v>
      </c>
      <c r="N160" s="164">
        <f>KASENGA!N160+KILWA!N159+MITWABA!N159+PWETO!N159</f>
        <v>0</v>
      </c>
      <c r="O160" s="164">
        <f>KASENGA!O160+KILWA!O159+MITWABA!O159+PWETO!O159</f>
        <v>0</v>
      </c>
      <c r="P160" s="164">
        <f>KASENGA!P160+KILWA!P159+MITWABA!P159+PWETO!P159</f>
        <v>274</v>
      </c>
      <c r="Q160" s="164">
        <f>KASENGA!Q160+KILWA!Q159+MITWABA!Q159+PWETO!Q159</f>
        <v>287</v>
      </c>
      <c r="R160" s="164">
        <f>KASENGA!R160+KILWA!R159+MITWABA!R159+PWETO!R159</f>
        <v>561</v>
      </c>
    </row>
    <row r="161" spans="1:19" ht="15.6" x14ac:dyDescent="0.3">
      <c r="B161" s="182"/>
      <c r="C161" s="164" t="s">
        <v>120</v>
      </c>
      <c r="D161" s="164">
        <f>KASENGA!D161+KILWA!D160+MITWABA!D160+PWETO!D160</f>
        <v>0</v>
      </c>
      <c r="E161" s="164">
        <f>KASENGA!E161+KILWA!E160+MITWABA!E160+PWETO!E160</f>
        <v>0</v>
      </c>
      <c r="F161" s="164">
        <f>KASENGA!F161+KILWA!F160+MITWABA!F160+PWETO!F160</f>
        <v>0</v>
      </c>
      <c r="G161" s="164">
        <f>KASENGA!G161+KILWA!G160+MITWABA!G160+PWETO!G160</f>
        <v>0</v>
      </c>
      <c r="H161" s="164">
        <f>KASENGA!H161+KILWA!H160+MITWABA!H160+PWETO!H160</f>
        <v>163</v>
      </c>
      <c r="I161" s="164">
        <f>KASENGA!I161+KILWA!I160+MITWABA!I160+PWETO!I160</f>
        <v>109</v>
      </c>
      <c r="J161" s="164">
        <f>KASENGA!J161+KILWA!J160+MITWABA!J160+PWETO!J160</f>
        <v>123</v>
      </c>
      <c r="K161" s="164">
        <f>KASENGA!K161+KILWA!K160+MITWABA!K160+PWETO!K160</f>
        <v>95</v>
      </c>
      <c r="L161" s="164">
        <f>KASENGA!L161+KILWA!L160+MITWABA!L160+PWETO!L160</f>
        <v>105</v>
      </c>
      <c r="M161" s="164">
        <f>KASENGA!M161+KILWA!M160+MITWABA!M160+PWETO!M160</f>
        <v>93</v>
      </c>
      <c r="N161" s="164">
        <f>KASENGA!N161+KILWA!N160+MITWABA!N160+PWETO!N160</f>
        <v>117</v>
      </c>
      <c r="O161" s="164">
        <f>KASENGA!O161+KILWA!O160+MITWABA!O160+PWETO!O160</f>
        <v>77</v>
      </c>
      <c r="P161" s="164">
        <f>KASENGA!P161+KILWA!P160+MITWABA!P160+PWETO!P160</f>
        <v>508</v>
      </c>
      <c r="Q161" s="164">
        <f>KASENGA!Q161+KILWA!Q160+MITWABA!Q160+PWETO!Q160</f>
        <v>374</v>
      </c>
      <c r="R161" s="164">
        <f>KASENGA!R161+KILWA!R160+MITWABA!R160+PWETO!R160</f>
        <v>882</v>
      </c>
    </row>
    <row r="162" spans="1:19" ht="15.6" x14ac:dyDescent="0.3">
      <c r="B162" s="182"/>
      <c r="C162" s="164" t="s">
        <v>121</v>
      </c>
      <c r="D162" s="164">
        <f>KASENGA!D162+KILWA!D161+MITWABA!D161+PWETO!D161</f>
        <v>0</v>
      </c>
      <c r="E162" s="164">
        <f>KASENGA!E162+KILWA!E161+MITWABA!E161+PWETO!E161</f>
        <v>0</v>
      </c>
      <c r="F162" s="164">
        <f>KASENGA!F162+KILWA!F161+MITWABA!F161+PWETO!F161</f>
        <v>0</v>
      </c>
      <c r="G162" s="164">
        <f>KASENGA!G162+KILWA!G161+MITWABA!G161+PWETO!G161</f>
        <v>0</v>
      </c>
      <c r="H162" s="164">
        <f>KASENGA!H162+KILWA!H161+MITWABA!H161+PWETO!H161</f>
        <v>0</v>
      </c>
      <c r="I162" s="164">
        <f>KASENGA!I162+KILWA!I161+MITWABA!I161+PWETO!I161</f>
        <v>0</v>
      </c>
      <c r="J162" s="164">
        <f>KASENGA!J162+KILWA!J161+MITWABA!J161+PWETO!J161</f>
        <v>0</v>
      </c>
      <c r="K162" s="164">
        <f>KASENGA!K162+KILWA!K161+MITWABA!K161+PWETO!K161</f>
        <v>0</v>
      </c>
      <c r="L162" s="164">
        <f>KASENGA!L162+KILWA!L161+MITWABA!L161+PWETO!L161</f>
        <v>0</v>
      </c>
      <c r="M162" s="164">
        <f>KASENGA!M162+KILWA!M161+MITWABA!M161+PWETO!M161</f>
        <v>0</v>
      </c>
      <c r="N162" s="164">
        <f>KASENGA!N162+KILWA!N161+MITWABA!N161+PWETO!N161</f>
        <v>0</v>
      </c>
      <c r="O162" s="164">
        <f>KASENGA!O162+KILWA!O161+MITWABA!O161+PWETO!O161</f>
        <v>0</v>
      </c>
      <c r="P162" s="164">
        <f>KASENGA!P162+KILWA!P161+MITWABA!P161+PWETO!P161</f>
        <v>0</v>
      </c>
      <c r="Q162" s="164">
        <f>KASENGA!Q162+KILWA!Q161+MITWABA!Q161+PWETO!Q161</f>
        <v>0</v>
      </c>
      <c r="R162" s="164">
        <f>KASENGA!R162+KILWA!R161+MITWABA!R161+PWETO!R161</f>
        <v>0</v>
      </c>
    </row>
    <row r="163" spans="1:19" ht="15.6" x14ac:dyDescent="0.3">
      <c r="B163" s="182"/>
      <c r="C163" s="164" t="s">
        <v>122</v>
      </c>
      <c r="D163" s="164">
        <f>KASENGA!D163+KILWA!D162+MITWABA!D162+PWETO!D162</f>
        <v>0</v>
      </c>
      <c r="E163" s="164">
        <f>KASENGA!E163+KILWA!E162+MITWABA!E162+PWETO!E162</f>
        <v>0</v>
      </c>
      <c r="F163" s="164">
        <f>KASENGA!F163+KILWA!F162+MITWABA!F162+PWETO!F162</f>
        <v>0</v>
      </c>
      <c r="G163" s="164">
        <f>KASENGA!G163+KILWA!G162+MITWABA!G162+PWETO!G162</f>
        <v>0</v>
      </c>
      <c r="H163" s="164">
        <f>KASENGA!H163+KILWA!H162+MITWABA!H162+PWETO!H162</f>
        <v>0</v>
      </c>
      <c r="I163" s="164">
        <f>KASENGA!I163+KILWA!I162+MITWABA!I162+PWETO!I162</f>
        <v>0</v>
      </c>
      <c r="J163" s="164">
        <f>KASENGA!J163+KILWA!J162+MITWABA!J162+PWETO!J162</f>
        <v>0</v>
      </c>
      <c r="K163" s="164">
        <f>KASENGA!K163+KILWA!K162+MITWABA!K162+PWETO!K162</f>
        <v>0</v>
      </c>
      <c r="L163" s="164">
        <f>KASENGA!L163+KILWA!L162+MITWABA!L162+PWETO!L162</f>
        <v>0</v>
      </c>
      <c r="M163" s="164">
        <f>KASENGA!M163+KILWA!M162+MITWABA!M162+PWETO!M162</f>
        <v>0</v>
      </c>
      <c r="N163" s="164">
        <f>KASENGA!N163+KILWA!N162+MITWABA!N162+PWETO!N162</f>
        <v>0</v>
      </c>
      <c r="O163" s="164">
        <f>KASENGA!O163+KILWA!O162+MITWABA!O162+PWETO!O162</f>
        <v>0</v>
      </c>
      <c r="P163" s="164">
        <f>KASENGA!P163+KILWA!P162+MITWABA!P162+PWETO!P162</f>
        <v>0</v>
      </c>
      <c r="Q163" s="164">
        <f>KASENGA!Q163+KILWA!Q162+MITWABA!Q162+PWETO!Q162</f>
        <v>0</v>
      </c>
      <c r="R163" s="164">
        <f>KASENGA!R163+KILWA!R162+MITWABA!R162+PWETO!R162</f>
        <v>0</v>
      </c>
    </row>
    <row r="164" spans="1:19" ht="15.6" x14ac:dyDescent="0.3">
      <c r="B164" s="183"/>
      <c r="C164" s="164" t="s">
        <v>123</v>
      </c>
      <c r="D164" s="164">
        <f>KASENGA!D164+KILWA!D163+MITWABA!D163+PWETO!D163</f>
        <v>0</v>
      </c>
      <c r="E164" s="164">
        <f>KASENGA!E164+KILWA!E163+MITWABA!E163+PWETO!E163</f>
        <v>0</v>
      </c>
      <c r="F164" s="164">
        <f>KASENGA!F164+KILWA!F163+MITWABA!F163+PWETO!F163</f>
        <v>0</v>
      </c>
      <c r="G164" s="164">
        <f>KASENGA!G164+KILWA!G163+MITWABA!G163+PWETO!G163</f>
        <v>0</v>
      </c>
      <c r="H164" s="164">
        <f>KASENGA!H164+KILWA!H163+MITWABA!H163+PWETO!H163</f>
        <v>0</v>
      </c>
      <c r="I164" s="164">
        <f>KASENGA!I164+KILWA!I163+MITWABA!I163+PWETO!I163</f>
        <v>0</v>
      </c>
      <c r="J164" s="164">
        <f>KASENGA!J164+KILWA!J163+MITWABA!J163+PWETO!J163</f>
        <v>0</v>
      </c>
      <c r="K164" s="164">
        <f>KASENGA!K164+KILWA!K163+MITWABA!K163+PWETO!K163</f>
        <v>0</v>
      </c>
      <c r="L164" s="164">
        <f>KASENGA!L164+KILWA!L163+MITWABA!L163+PWETO!L163</f>
        <v>0</v>
      </c>
      <c r="M164" s="164">
        <f>KASENGA!M164+KILWA!M163+MITWABA!M163+PWETO!M163</f>
        <v>0</v>
      </c>
      <c r="N164" s="164">
        <f>KASENGA!N164+KILWA!N163+MITWABA!N163+PWETO!N163</f>
        <v>0</v>
      </c>
      <c r="O164" s="164">
        <f>KASENGA!O164+KILWA!O163+MITWABA!O163+PWETO!O163</f>
        <v>0</v>
      </c>
      <c r="P164" s="164">
        <f>KASENGA!P164+KILWA!P163+MITWABA!P163+PWETO!P163</f>
        <v>0</v>
      </c>
      <c r="Q164" s="164">
        <f>KASENGA!Q164+KILWA!Q163+MITWABA!Q163+PWETO!Q163</f>
        <v>0</v>
      </c>
      <c r="R164" s="164">
        <f>KASENGA!R164+KILWA!R163+MITWABA!R163+PWETO!R163</f>
        <v>0</v>
      </c>
    </row>
    <row r="165" spans="1:19" ht="15.6" x14ac:dyDescent="0.3">
      <c r="B165" s="181" t="s">
        <v>10</v>
      </c>
      <c r="C165" s="164" t="s">
        <v>119</v>
      </c>
      <c r="D165" s="164">
        <f>KASENGA!D165+KILWA!D164+MITWABA!D164+PWETO!D164</f>
        <v>8303</v>
      </c>
      <c r="E165" s="164">
        <f>KASENGA!E165+KILWA!E164+MITWABA!E164+PWETO!E164</f>
        <v>6064</v>
      </c>
      <c r="F165" s="164">
        <f>KASENGA!F165+KILWA!F164+MITWABA!F164+PWETO!F164</f>
        <v>7004</v>
      </c>
      <c r="G165" s="164">
        <f>KASENGA!G165+KILWA!G164+MITWABA!G164+PWETO!G164</f>
        <v>4789</v>
      </c>
      <c r="H165" s="164">
        <f>KASENGA!H165+KILWA!H164+MITWABA!H164+PWETO!H164</f>
        <v>0</v>
      </c>
      <c r="I165" s="164">
        <f>KASENGA!I165+KILWA!I164+MITWABA!I164+PWETO!I164</f>
        <v>0</v>
      </c>
      <c r="J165" s="164">
        <f>KASENGA!J165+KILWA!J164+MITWABA!J164+PWETO!J164</f>
        <v>0</v>
      </c>
      <c r="K165" s="164">
        <f>KASENGA!K165+KILWA!K164+MITWABA!K164+PWETO!K164</f>
        <v>0</v>
      </c>
      <c r="L165" s="164">
        <f>KASENGA!L165+KILWA!L164+MITWABA!L164+PWETO!L164</f>
        <v>0</v>
      </c>
      <c r="M165" s="164">
        <f>KASENGA!M165+KILWA!M164+MITWABA!M164+PWETO!M164</f>
        <v>0</v>
      </c>
      <c r="N165" s="164">
        <f>KASENGA!N165+KILWA!N164+MITWABA!N164+PWETO!N164</f>
        <v>0</v>
      </c>
      <c r="O165" s="164">
        <f>KASENGA!O165+KILWA!O164+MITWABA!O164+PWETO!O164</f>
        <v>0</v>
      </c>
      <c r="P165" s="164">
        <f>KASENGA!P165+KILWA!P164+MITWABA!P164+PWETO!P164</f>
        <v>15307</v>
      </c>
      <c r="Q165" s="164">
        <f>KASENGA!Q165+KILWA!Q164+MITWABA!Q164+PWETO!Q164</f>
        <v>10853</v>
      </c>
      <c r="R165" s="164">
        <f>KASENGA!R165+KILWA!R164+MITWABA!R164+PWETO!R164</f>
        <v>26160</v>
      </c>
    </row>
    <row r="166" spans="1:19" ht="15.6" x14ac:dyDescent="0.3">
      <c r="B166" s="182"/>
      <c r="C166" s="164" t="s">
        <v>120</v>
      </c>
      <c r="D166" s="164">
        <f>KASENGA!D166+KILWA!D165+MITWABA!D165+PWETO!D165</f>
        <v>0</v>
      </c>
      <c r="E166" s="164">
        <f>KASENGA!E166+KILWA!E165+MITWABA!E165+PWETO!E165</f>
        <v>0</v>
      </c>
      <c r="F166" s="164">
        <f>KASENGA!F166+KILWA!F165+MITWABA!F165+PWETO!F165</f>
        <v>0</v>
      </c>
      <c r="G166" s="164">
        <f>KASENGA!G166+KILWA!G165+MITWABA!G165+PWETO!G165</f>
        <v>0</v>
      </c>
      <c r="H166" s="164">
        <f>KASENGA!H166+KILWA!H165+MITWABA!H165+PWETO!H165</f>
        <v>4788</v>
      </c>
      <c r="I166" s="164">
        <f>KASENGA!I166+KILWA!I165+MITWABA!I165+PWETO!I165</f>
        <v>3340</v>
      </c>
      <c r="J166" s="164">
        <f>KASENGA!J166+KILWA!J165+MITWABA!J165+PWETO!J165</f>
        <v>3749</v>
      </c>
      <c r="K166" s="164">
        <f>KASENGA!K166+KILWA!K165+MITWABA!K165+PWETO!K165</f>
        <v>2471</v>
      </c>
      <c r="L166" s="164">
        <f>KASENGA!L166+KILWA!L165+MITWABA!L165+PWETO!L165</f>
        <v>3018</v>
      </c>
      <c r="M166" s="164">
        <f>KASENGA!M166+KILWA!M165+MITWABA!M165+PWETO!M165</f>
        <v>1820</v>
      </c>
      <c r="N166" s="164">
        <f>KASENGA!N166+KILWA!N165+MITWABA!N165+PWETO!N165</f>
        <v>2786</v>
      </c>
      <c r="O166" s="164">
        <f>KASENGA!O166+KILWA!O165+MITWABA!O165+PWETO!O165</f>
        <v>1585</v>
      </c>
      <c r="P166" s="164">
        <f>KASENGA!P166+KILWA!P165+MITWABA!P165+PWETO!P165</f>
        <v>14341</v>
      </c>
      <c r="Q166" s="164">
        <f>KASENGA!Q166+KILWA!Q165+MITWABA!Q165+PWETO!Q165</f>
        <v>9216</v>
      </c>
      <c r="R166" s="164">
        <f>KASENGA!R166+KILWA!R165+MITWABA!R165+PWETO!R165</f>
        <v>23557</v>
      </c>
    </row>
    <row r="167" spans="1:19" ht="15.6" x14ac:dyDescent="0.3">
      <c r="B167" s="182"/>
      <c r="C167" s="164" t="s">
        <v>121</v>
      </c>
      <c r="D167" s="164">
        <f>KASENGA!D167+KILWA!D166+MITWABA!D166+PWETO!D166</f>
        <v>0</v>
      </c>
      <c r="E167" s="164">
        <f>KASENGA!E167+KILWA!E166+MITWABA!E166+PWETO!E166</f>
        <v>0</v>
      </c>
      <c r="F167" s="164">
        <f>KASENGA!F167+KILWA!F166+MITWABA!F166+PWETO!F166</f>
        <v>0</v>
      </c>
      <c r="G167" s="164">
        <f>KASENGA!G167+KILWA!G166+MITWABA!G166+PWETO!G166</f>
        <v>0</v>
      </c>
      <c r="H167" s="164">
        <f>KASENGA!H167+KILWA!H166+MITWABA!H166+PWETO!H166</f>
        <v>612</v>
      </c>
      <c r="I167" s="164">
        <f>KASENGA!I167+KILWA!I166+MITWABA!I166+PWETO!I166</f>
        <v>210</v>
      </c>
      <c r="J167" s="164">
        <f>KASENGA!J167+KILWA!J166+MITWABA!J166+PWETO!J166</f>
        <v>436</v>
      </c>
      <c r="K167" s="164">
        <f>KASENGA!K167+KILWA!K166+MITWABA!K166+PWETO!K166</f>
        <v>92</v>
      </c>
      <c r="L167" s="164">
        <f>KASENGA!L167+KILWA!L166+MITWABA!L166+PWETO!L166</f>
        <v>374</v>
      </c>
      <c r="M167" s="164">
        <f>KASENGA!M167+KILWA!M166+MITWABA!M166+PWETO!M166</f>
        <v>85</v>
      </c>
      <c r="N167" s="164">
        <f>KASENGA!N167+KILWA!N166+MITWABA!N166+PWETO!N166</f>
        <v>280</v>
      </c>
      <c r="O167" s="164">
        <f>KASENGA!O167+KILWA!O166+MITWABA!O166+PWETO!O166</f>
        <v>63</v>
      </c>
      <c r="P167" s="164">
        <f>KASENGA!P167+KILWA!P166+MITWABA!P166+PWETO!P166</f>
        <v>1702</v>
      </c>
      <c r="Q167" s="164">
        <f>KASENGA!Q167+KILWA!Q166+MITWABA!Q166+PWETO!Q166</f>
        <v>450</v>
      </c>
      <c r="R167" s="164">
        <f>KASENGA!R167+KILWA!R166+MITWABA!R166+PWETO!R166</f>
        <v>2152</v>
      </c>
    </row>
    <row r="168" spans="1:19" ht="15.6" x14ac:dyDescent="0.3">
      <c r="B168" s="182"/>
      <c r="C168" s="164" t="s">
        <v>122</v>
      </c>
      <c r="D168" s="164">
        <f>KASENGA!D168+KILWA!D167+MITWABA!D167+PWETO!D167</f>
        <v>0</v>
      </c>
      <c r="E168" s="164">
        <f>KASENGA!E168+KILWA!E167+MITWABA!E167+PWETO!E167</f>
        <v>0</v>
      </c>
      <c r="F168" s="164">
        <f>KASENGA!F168+KILWA!F167+MITWABA!F167+PWETO!F167</f>
        <v>0</v>
      </c>
      <c r="G168" s="164">
        <f>KASENGA!G168+KILWA!G167+MITWABA!G167+PWETO!G167</f>
        <v>0</v>
      </c>
      <c r="H168" s="164">
        <f>KASENGA!H168+KILWA!H167+MITWABA!H167+PWETO!H167</f>
        <v>16</v>
      </c>
      <c r="I168" s="164">
        <f>KASENGA!I168+KILWA!I167+MITWABA!I167+PWETO!I167</f>
        <v>2</v>
      </c>
      <c r="J168" s="164">
        <f>KASENGA!J168+KILWA!J167+MITWABA!J167+PWETO!J167</f>
        <v>20</v>
      </c>
      <c r="K168" s="164">
        <f>KASENGA!K168+KILWA!K167+MITWABA!K167+PWETO!K167</f>
        <v>8</v>
      </c>
      <c r="L168" s="164">
        <f>KASENGA!L168+KILWA!L167+MITWABA!L167+PWETO!L167</f>
        <v>0</v>
      </c>
      <c r="M168" s="164">
        <f>KASENGA!M168+KILWA!M167+MITWABA!M167+PWETO!M167</f>
        <v>0</v>
      </c>
      <c r="N168" s="164">
        <f>KASENGA!N168+KILWA!N167+MITWABA!N167+PWETO!N167</f>
        <v>0</v>
      </c>
      <c r="O168" s="164">
        <f>KASENGA!O168+KILWA!O167+MITWABA!O167+PWETO!O167</f>
        <v>0</v>
      </c>
      <c r="P168" s="164">
        <f>KASENGA!P168+KILWA!P167+MITWABA!P167+PWETO!P167</f>
        <v>36</v>
      </c>
      <c r="Q168" s="164">
        <f>KASENGA!Q168+KILWA!Q167+MITWABA!Q167+PWETO!Q167</f>
        <v>10</v>
      </c>
      <c r="R168" s="164">
        <f>KASENGA!R168+KILWA!R167+MITWABA!R167+PWETO!R167</f>
        <v>46</v>
      </c>
    </row>
    <row r="169" spans="1:19" ht="15.6" x14ac:dyDescent="0.3">
      <c r="A169" s="1"/>
      <c r="B169" s="183"/>
      <c r="C169" s="164" t="s">
        <v>123</v>
      </c>
      <c r="D169" s="164">
        <f>KASENGA!D169+KILWA!D168+MITWABA!D168+PWETO!D168</f>
        <v>0</v>
      </c>
      <c r="E169" s="164">
        <f>KASENGA!E169+KILWA!E168+MITWABA!E168+PWETO!E168</f>
        <v>0</v>
      </c>
      <c r="F169" s="164">
        <f>KASENGA!F169+KILWA!F168+MITWABA!F168+PWETO!F168</f>
        <v>0</v>
      </c>
      <c r="G169" s="164">
        <f>KASENGA!G169+KILWA!G168+MITWABA!G168+PWETO!G168</f>
        <v>0</v>
      </c>
      <c r="H169" s="164">
        <f>KASENGA!H169+KILWA!H168+MITWABA!H168+PWETO!H168</f>
        <v>0</v>
      </c>
      <c r="I169" s="164">
        <f>KASENGA!I169+KILWA!I168+MITWABA!I168+PWETO!I168</f>
        <v>0</v>
      </c>
      <c r="J169" s="164">
        <f>KASENGA!J169+KILWA!J168+MITWABA!J168+PWETO!J168</f>
        <v>0</v>
      </c>
      <c r="K169" s="164">
        <f>KASENGA!K169+KILWA!K168+MITWABA!K168+PWETO!K168</f>
        <v>0</v>
      </c>
      <c r="L169" s="164">
        <f>KASENGA!L169+KILWA!L168+MITWABA!L168+PWETO!L168</f>
        <v>0</v>
      </c>
      <c r="M169" s="164">
        <f>KASENGA!M169+KILWA!M168+MITWABA!M168+PWETO!M168</f>
        <v>0</v>
      </c>
      <c r="N169" s="164">
        <f>KASENGA!N169+KILWA!N168+MITWABA!N168+PWETO!N168</f>
        <v>0</v>
      </c>
      <c r="O169" s="164">
        <f>KASENGA!O169+KILWA!O168+MITWABA!O168+PWETO!O168</f>
        <v>0</v>
      </c>
      <c r="P169" s="164">
        <f>KASENGA!P169+KILWA!P168+MITWABA!P168+PWETO!P168</f>
        <v>0</v>
      </c>
      <c r="Q169" s="164">
        <f>KASENGA!Q169+KILWA!Q168+MITWABA!Q168+PWETO!Q168</f>
        <v>0</v>
      </c>
      <c r="R169" s="164">
        <f>KASENGA!R169+KILWA!R168+MITWABA!R168+PWETO!R168</f>
        <v>0</v>
      </c>
    </row>
    <row r="170" spans="1:19" ht="18" x14ac:dyDescent="0.3">
      <c r="A170" s="96" t="s">
        <v>38</v>
      </c>
    </row>
    <row r="171" spans="1:19" x14ac:dyDescent="0.3">
      <c r="A171" s="1"/>
    </row>
    <row r="172" spans="1:19" ht="62.4" x14ac:dyDescent="0.3">
      <c r="A172" s="79" t="s">
        <v>6</v>
      </c>
      <c r="B172" s="80" t="s">
        <v>18</v>
      </c>
      <c r="C172" s="262" t="s">
        <v>55</v>
      </c>
      <c r="D172" s="262"/>
      <c r="E172" s="262" t="s">
        <v>56</v>
      </c>
      <c r="F172" s="262"/>
      <c r="G172" s="262" t="s">
        <v>57</v>
      </c>
      <c r="H172" s="262"/>
      <c r="I172" s="262" t="s">
        <v>58</v>
      </c>
      <c r="J172" s="262"/>
      <c r="K172" s="262" t="s">
        <v>59</v>
      </c>
      <c r="L172" s="262"/>
      <c r="M172" s="262" t="s">
        <v>60</v>
      </c>
      <c r="N172" s="262"/>
      <c r="O172" s="262" t="s">
        <v>61</v>
      </c>
      <c r="P172" s="262"/>
      <c r="Q172" s="268" t="s">
        <v>10</v>
      </c>
      <c r="R172" s="269"/>
      <c r="S172" s="269"/>
    </row>
    <row r="173" spans="1:19" ht="15.6" x14ac:dyDescent="0.3">
      <c r="A173" s="82"/>
      <c r="B173" s="154"/>
      <c r="C173" s="154" t="s">
        <v>43</v>
      </c>
      <c r="D173" s="154" t="s">
        <v>30</v>
      </c>
      <c r="E173" s="154" t="s">
        <v>43</v>
      </c>
      <c r="F173" s="154" t="s">
        <v>30</v>
      </c>
      <c r="G173" s="154" t="s">
        <v>43</v>
      </c>
      <c r="H173" s="154" t="s">
        <v>30</v>
      </c>
      <c r="I173" s="154" t="s">
        <v>43</v>
      </c>
      <c r="J173" s="154" t="s">
        <v>30</v>
      </c>
      <c r="K173" s="154" t="s">
        <v>43</v>
      </c>
      <c r="L173" s="154" t="s">
        <v>30</v>
      </c>
      <c r="M173" s="154" t="s">
        <v>43</v>
      </c>
      <c r="N173" s="154" t="s">
        <v>30</v>
      </c>
      <c r="O173" s="154" t="s">
        <v>43</v>
      </c>
      <c r="P173" s="154" t="s">
        <v>30</v>
      </c>
      <c r="Q173" s="154" t="s">
        <v>43</v>
      </c>
      <c r="R173" s="154" t="s">
        <v>30</v>
      </c>
      <c r="S173" s="154" t="s">
        <v>67</v>
      </c>
    </row>
    <row r="174" spans="1:19" ht="15.6" x14ac:dyDescent="0.3">
      <c r="A174" s="78">
        <v>1</v>
      </c>
      <c r="B174" s="156" t="s">
        <v>44</v>
      </c>
      <c r="C174" s="25">
        <f>KASENGA!C175+KILWA!C174+MITWABA!C174+PWETO!C174</f>
        <v>51</v>
      </c>
      <c r="D174" s="25">
        <f>KASENGA!D175+KILWA!D174+MITWABA!D174+PWETO!D174</f>
        <v>1</v>
      </c>
      <c r="E174" s="25">
        <f>KASENGA!E175+KILWA!E174+MITWABA!E174+PWETO!E174</f>
        <v>4</v>
      </c>
      <c r="F174" s="25">
        <f>KASENGA!F175+KILWA!F174+MITWABA!F174+PWETO!F174</f>
        <v>0</v>
      </c>
      <c r="G174" s="25">
        <f>KASENGA!G175+KILWA!G174+MITWABA!G174+PWETO!G174</f>
        <v>0</v>
      </c>
      <c r="H174" s="25">
        <f>KASENGA!H175+KILWA!H174+MITWABA!H174+PWETO!H174</f>
        <v>0</v>
      </c>
      <c r="I174" s="25">
        <f>KASENGA!I175+KILWA!I174+MITWABA!I174+PWETO!I174</f>
        <v>16</v>
      </c>
      <c r="J174" s="25">
        <f>KASENGA!J175+KILWA!J174+MITWABA!J174+PWETO!J174</f>
        <v>0</v>
      </c>
      <c r="K174" s="25">
        <f>KASENGA!K175+KILWA!K174+MITWABA!K174+PWETO!K174</f>
        <v>0</v>
      </c>
      <c r="L174" s="25">
        <f>KASENGA!L175+KILWA!L174+MITWABA!L174+PWETO!L174</f>
        <v>0</v>
      </c>
      <c r="M174" s="25">
        <f>KASENGA!M175+KILWA!M174+MITWABA!M174+PWETO!M174</f>
        <v>0</v>
      </c>
      <c r="N174" s="25">
        <f>KASENGA!N175+KILWA!N174+MITWABA!N174+PWETO!N174</f>
        <v>0</v>
      </c>
      <c r="O174" s="25">
        <f>KASENGA!O175+KILWA!O174+MITWABA!O174+PWETO!O174</f>
        <v>447</v>
      </c>
      <c r="P174" s="25">
        <f>KASENGA!P175+KILWA!P174+MITWABA!P174+PWETO!P174</f>
        <v>25</v>
      </c>
      <c r="Q174" s="25">
        <f>KASENGA!Q175+KILWA!Q174+MITWABA!Q174+PWETO!Q174</f>
        <v>518</v>
      </c>
      <c r="R174" s="25">
        <f>KASENGA!R175+KILWA!R174+MITWABA!R174+PWETO!R174</f>
        <v>26</v>
      </c>
      <c r="S174" s="25">
        <f>KASENGA!S175+KILWA!S174+MITWABA!S174+PWETO!S174</f>
        <v>544</v>
      </c>
    </row>
    <row r="175" spans="1:19" ht="15.6" x14ac:dyDescent="0.3">
      <c r="A175" s="78">
        <v>2</v>
      </c>
      <c r="B175" s="156" t="s">
        <v>45</v>
      </c>
      <c r="C175" s="25">
        <f>KASENGA!C176+KILWA!C175+MITWABA!C175+PWETO!C175</f>
        <v>130</v>
      </c>
      <c r="D175" s="25">
        <f>KASENGA!D176+KILWA!D175+MITWABA!D175+PWETO!D175</f>
        <v>15</v>
      </c>
      <c r="E175" s="25">
        <f>KASENGA!E176+KILWA!E175+MITWABA!E175+PWETO!E175</f>
        <v>11</v>
      </c>
      <c r="F175" s="25">
        <f>KASENGA!F176+KILWA!F175+MITWABA!F175+PWETO!F175</f>
        <v>4</v>
      </c>
      <c r="G175" s="25">
        <f>KASENGA!G176+KILWA!G175+MITWABA!G175+PWETO!G175</f>
        <v>0</v>
      </c>
      <c r="H175" s="25">
        <f>KASENGA!H176+KILWA!H175+MITWABA!H175+PWETO!H175</f>
        <v>0</v>
      </c>
      <c r="I175" s="25">
        <f>KASENGA!I176+KILWA!I175+MITWABA!I175+PWETO!I175</f>
        <v>32</v>
      </c>
      <c r="J175" s="25">
        <f>KASENGA!J176+KILWA!J175+MITWABA!J175+PWETO!J175</f>
        <v>4</v>
      </c>
      <c r="K175" s="25">
        <f>KASENGA!K176+KILWA!K175+MITWABA!K175+PWETO!K175</f>
        <v>2</v>
      </c>
      <c r="L175" s="25">
        <f>KASENGA!L176+KILWA!L175+MITWABA!L175+PWETO!L175</f>
        <v>1</v>
      </c>
      <c r="M175" s="25">
        <f>KASENGA!M176+KILWA!M175+MITWABA!M175+PWETO!M175</f>
        <v>0</v>
      </c>
      <c r="N175" s="25">
        <f>KASENGA!N176+KILWA!N175+MITWABA!N175+PWETO!N175</f>
        <v>0</v>
      </c>
      <c r="O175" s="25">
        <f>KASENGA!O176+KILWA!O175+MITWABA!O175+PWETO!O175</f>
        <v>937</v>
      </c>
      <c r="P175" s="25">
        <f>KASENGA!P176+KILWA!P175+MITWABA!P175+PWETO!P175</f>
        <v>79</v>
      </c>
      <c r="Q175" s="25">
        <f>KASENGA!Q176+KILWA!Q175+MITWABA!Q175+PWETO!Q175</f>
        <v>1112</v>
      </c>
      <c r="R175" s="25">
        <f>KASENGA!R176+KILWA!R175+MITWABA!R175+PWETO!R175</f>
        <v>103</v>
      </c>
      <c r="S175" s="25">
        <f>KASENGA!S176+KILWA!S175+MITWABA!S175+PWETO!S175</f>
        <v>1215</v>
      </c>
    </row>
    <row r="176" spans="1:19" ht="15.6" x14ac:dyDescent="0.3">
      <c r="A176" s="78">
        <v>3</v>
      </c>
      <c r="B176" s="156" t="s">
        <v>46</v>
      </c>
      <c r="C176" s="25">
        <f>KASENGA!C177+KILWA!C176+MITWABA!C176+PWETO!C176</f>
        <v>121</v>
      </c>
      <c r="D176" s="25">
        <f>KASENGA!D177+KILWA!D176+MITWABA!D176+PWETO!D176</f>
        <v>7</v>
      </c>
      <c r="E176" s="25">
        <f>KASENGA!E177+KILWA!E176+MITWABA!E176+PWETO!E176</f>
        <v>6</v>
      </c>
      <c r="F176" s="25">
        <f>KASENGA!F177+KILWA!F176+MITWABA!F176+PWETO!F176</f>
        <v>0</v>
      </c>
      <c r="G176" s="25">
        <f>KASENGA!G177+KILWA!G176+MITWABA!G176+PWETO!G176</f>
        <v>0</v>
      </c>
      <c r="H176" s="25">
        <f>KASENGA!H177+KILWA!H176+MITWABA!H176+PWETO!H176</f>
        <v>0</v>
      </c>
      <c r="I176" s="25">
        <f>KASENGA!I177+KILWA!I176+MITWABA!I176+PWETO!I176</f>
        <v>25</v>
      </c>
      <c r="J176" s="25">
        <f>KASENGA!J177+KILWA!J176+MITWABA!J176+PWETO!J176</f>
        <v>3</v>
      </c>
      <c r="K176" s="25">
        <f>KASENGA!K177+KILWA!K176+MITWABA!K176+PWETO!K176</f>
        <v>2</v>
      </c>
      <c r="L176" s="25">
        <f>KASENGA!L177+KILWA!L176+MITWABA!L176+PWETO!L176</f>
        <v>0</v>
      </c>
      <c r="M176" s="25">
        <f>KASENGA!M177+KILWA!M176+MITWABA!M176+PWETO!M176</f>
        <v>0</v>
      </c>
      <c r="N176" s="25">
        <f>KASENGA!N177+KILWA!N176+MITWABA!N176+PWETO!N176</f>
        <v>0</v>
      </c>
      <c r="O176" s="25">
        <f>KASENGA!O177+KILWA!O176+MITWABA!O176+PWETO!O176</f>
        <v>1208</v>
      </c>
      <c r="P176" s="25">
        <f>KASENGA!P177+KILWA!P176+MITWABA!P176+PWETO!P176</f>
        <v>73</v>
      </c>
      <c r="Q176" s="25">
        <f>KASENGA!Q177+KILWA!Q176+MITWABA!Q176+PWETO!Q176</f>
        <v>1362</v>
      </c>
      <c r="R176" s="25">
        <f>KASENGA!R177+KILWA!R176+MITWABA!R176+PWETO!R176</f>
        <v>83</v>
      </c>
      <c r="S176" s="25">
        <f>KASENGA!S177+KILWA!S176+MITWABA!S176+PWETO!S176</f>
        <v>1445</v>
      </c>
    </row>
    <row r="177" spans="1:19" ht="15.6" x14ac:dyDescent="0.3">
      <c r="A177" s="78">
        <v>4</v>
      </c>
      <c r="B177" s="156" t="s">
        <v>47</v>
      </c>
      <c r="C177" s="25">
        <f>KASENGA!C178+KILWA!C177+MITWABA!C177+PWETO!C177</f>
        <v>5</v>
      </c>
      <c r="D177" s="25">
        <f>KASENGA!D178+KILWA!D177+MITWABA!D177+PWETO!D177</f>
        <v>0</v>
      </c>
      <c r="E177" s="25">
        <f>KASENGA!E178+KILWA!E177+MITWABA!E177+PWETO!E177</f>
        <v>0</v>
      </c>
      <c r="F177" s="25">
        <f>KASENGA!F178+KILWA!F177+MITWABA!F177+PWETO!F177</f>
        <v>0</v>
      </c>
      <c r="G177" s="25">
        <f>KASENGA!G178+KILWA!G177+MITWABA!G177+PWETO!G177</f>
        <v>0</v>
      </c>
      <c r="H177" s="25">
        <f>KASENGA!H178+KILWA!H177+MITWABA!H177+PWETO!H177</f>
        <v>0</v>
      </c>
      <c r="I177" s="25">
        <f>KASENGA!I178+KILWA!I177+MITWABA!I177+PWETO!I177</f>
        <v>1</v>
      </c>
      <c r="J177" s="25">
        <f>KASENGA!J178+KILWA!J177+MITWABA!J177+PWETO!J177</f>
        <v>0</v>
      </c>
      <c r="K177" s="25">
        <f>KASENGA!K178+KILWA!K177+MITWABA!K177+PWETO!K177</f>
        <v>0</v>
      </c>
      <c r="L177" s="25">
        <f>KASENGA!L178+KILWA!L177+MITWABA!L177+PWETO!L177</f>
        <v>0</v>
      </c>
      <c r="M177" s="25">
        <f>KASENGA!M178+KILWA!M177+MITWABA!M177+PWETO!M177</f>
        <v>0</v>
      </c>
      <c r="N177" s="25">
        <f>KASENGA!N178+KILWA!N177+MITWABA!N177+PWETO!N177</f>
        <v>0</v>
      </c>
      <c r="O177" s="25">
        <f>KASENGA!O178+KILWA!O177+MITWABA!O177+PWETO!O177</f>
        <v>53</v>
      </c>
      <c r="P177" s="25">
        <f>KASENGA!P178+KILWA!P177+MITWABA!P177+PWETO!P177</f>
        <v>2</v>
      </c>
      <c r="Q177" s="25">
        <f>KASENGA!Q178+KILWA!Q177+MITWABA!Q177+PWETO!Q177</f>
        <v>59</v>
      </c>
      <c r="R177" s="25">
        <f>KASENGA!R178+KILWA!R177+MITWABA!R177+PWETO!R177</f>
        <v>2</v>
      </c>
      <c r="S177" s="25">
        <f>KASENGA!S178+KILWA!S177+MITWABA!S177+PWETO!S177</f>
        <v>61</v>
      </c>
    </row>
    <row r="178" spans="1:19" ht="15.6" x14ac:dyDescent="0.3">
      <c r="A178" s="78">
        <v>5</v>
      </c>
      <c r="B178" s="156" t="s">
        <v>48</v>
      </c>
      <c r="C178" s="25">
        <f>KASENGA!C179+KILWA!C178+MITWABA!C178+PWETO!C178</f>
        <v>0</v>
      </c>
      <c r="D178" s="25">
        <f>KASENGA!D179+KILWA!D178+MITWABA!D178+PWETO!D178</f>
        <v>0</v>
      </c>
      <c r="E178" s="25">
        <f>KASENGA!E179+KILWA!E178+MITWABA!E178+PWETO!E178</f>
        <v>0</v>
      </c>
      <c r="F178" s="25">
        <f>KASENGA!F179+KILWA!F178+MITWABA!F178+PWETO!F178</f>
        <v>0</v>
      </c>
      <c r="G178" s="25">
        <f>KASENGA!G179+KILWA!G178+MITWABA!G178+PWETO!G178</f>
        <v>0</v>
      </c>
      <c r="H178" s="25">
        <f>KASENGA!H179+KILWA!H178+MITWABA!H178+PWETO!H178</f>
        <v>0</v>
      </c>
      <c r="I178" s="25">
        <f>KASENGA!I179+KILWA!I178+MITWABA!I178+PWETO!I178</f>
        <v>0</v>
      </c>
      <c r="J178" s="25">
        <f>KASENGA!J179+KILWA!J178+MITWABA!J178+PWETO!J178</f>
        <v>0</v>
      </c>
      <c r="K178" s="25">
        <f>KASENGA!K179+KILWA!K178+MITWABA!K178+PWETO!K178</f>
        <v>0</v>
      </c>
      <c r="L178" s="25">
        <f>KASENGA!L179+KILWA!L178+MITWABA!L178+PWETO!L178</f>
        <v>0</v>
      </c>
      <c r="M178" s="25">
        <f>KASENGA!M179+KILWA!M178+MITWABA!M178+PWETO!M178</f>
        <v>0</v>
      </c>
      <c r="N178" s="25">
        <f>KASENGA!N179+KILWA!N178+MITWABA!N178+PWETO!N178</f>
        <v>0</v>
      </c>
      <c r="O178" s="25">
        <f>KASENGA!O179+KILWA!O178+MITWABA!O178+PWETO!O178</f>
        <v>0</v>
      </c>
      <c r="P178" s="25">
        <f>KASENGA!P179+KILWA!P178+MITWABA!P178+PWETO!P178</f>
        <v>0</v>
      </c>
      <c r="Q178" s="25">
        <f>KASENGA!Q179+KILWA!Q178+MITWABA!Q178+PWETO!Q178</f>
        <v>0</v>
      </c>
      <c r="R178" s="25">
        <f>KASENGA!R179+KILWA!R178+MITWABA!R178+PWETO!R178</f>
        <v>0</v>
      </c>
      <c r="S178" s="25">
        <f>KASENGA!S179+KILWA!S178+MITWABA!S178+PWETO!S178</f>
        <v>0</v>
      </c>
    </row>
    <row r="179" spans="1:19" ht="15.6" x14ac:dyDescent="0.3">
      <c r="A179" s="78">
        <v>6</v>
      </c>
      <c r="B179" s="156" t="s">
        <v>49</v>
      </c>
      <c r="C179" s="25">
        <f>KASENGA!C180+KILWA!C179+MITWABA!C179+PWETO!C179</f>
        <v>10</v>
      </c>
      <c r="D179" s="25">
        <f>KASENGA!D180+KILWA!D179+MITWABA!D179+PWETO!D179</f>
        <v>0</v>
      </c>
      <c r="E179" s="25">
        <f>KASENGA!E180+KILWA!E179+MITWABA!E179+PWETO!E179</f>
        <v>4</v>
      </c>
      <c r="F179" s="25">
        <f>KASENGA!F180+KILWA!F179+MITWABA!F179+PWETO!F179</f>
        <v>0</v>
      </c>
      <c r="G179" s="25">
        <f>KASENGA!G180+KILWA!G179+MITWABA!G179+PWETO!G179</f>
        <v>0</v>
      </c>
      <c r="H179" s="25">
        <f>KASENGA!H180+KILWA!H179+MITWABA!H179+PWETO!H179</f>
        <v>0</v>
      </c>
      <c r="I179" s="25">
        <f>KASENGA!I180+KILWA!I179+MITWABA!I179+PWETO!I179</f>
        <v>4</v>
      </c>
      <c r="J179" s="25">
        <f>KASENGA!J180+KILWA!J179+MITWABA!J179+PWETO!J179</f>
        <v>0</v>
      </c>
      <c r="K179" s="25">
        <f>KASENGA!K180+KILWA!K179+MITWABA!K179+PWETO!K179</f>
        <v>2</v>
      </c>
      <c r="L179" s="25">
        <f>KASENGA!L180+KILWA!L179+MITWABA!L179+PWETO!L179</f>
        <v>0</v>
      </c>
      <c r="M179" s="25">
        <f>KASENGA!M180+KILWA!M179+MITWABA!M179+PWETO!M179</f>
        <v>0</v>
      </c>
      <c r="N179" s="25">
        <f>KASENGA!N180+KILWA!N179+MITWABA!N179+PWETO!N179</f>
        <v>0</v>
      </c>
      <c r="O179" s="25">
        <f>KASENGA!O180+KILWA!O179+MITWABA!O179+PWETO!O179</f>
        <v>79</v>
      </c>
      <c r="P179" s="25">
        <f>KASENGA!P180+KILWA!P179+MITWABA!P179+PWETO!P179</f>
        <v>5</v>
      </c>
      <c r="Q179" s="25">
        <f>KASENGA!Q180+KILWA!Q179+MITWABA!Q179+PWETO!Q179</f>
        <v>99</v>
      </c>
      <c r="R179" s="25">
        <f>KASENGA!R180+KILWA!R179+MITWABA!R179+PWETO!R179</f>
        <v>5</v>
      </c>
      <c r="S179" s="25">
        <f>KASENGA!S180+KILWA!S179+MITWABA!S179+PWETO!S179</f>
        <v>104</v>
      </c>
    </row>
    <row r="180" spans="1:19" ht="15.6" x14ac:dyDescent="0.3">
      <c r="A180" s="78">
        <v>7</v>
      </c>
      <c r="B180" s="156" t="s">
        <v>50</v>
      </c>
      <c r="C180" s="25">
        <f>KASENGA!C181+KILWA!C180+MITWABA!C180+PWETO!C180</f>
        <v>9</v>
      </c>
      <c r="D180" s="25">
        <f>KASENGA!D181+KILWA!D180+MITWABA!D180+PWETO!D180</f>
        <v>2</v>
      </c>
      <c r="E180" s="25">
        <f>KASENGA!E181+KILWA!E180+MITWABA!E180+PWETO!E180</f>
        <v>1</v>
      </c>
      <c r="F180" s="25">
        <f>KASENGA!F181+KILWA!F180+MITWABA!F180+PWETO!F180</f>
        <v>0</v>
      </c>
      <c r="G180" s="25">
        <f>KASENGA!G181+KILWA!G180+MITWABA!G180+PWETO!G180</f>
        <v>0</v>
      </c>
      <c r="H180" s="25">
        <f>KASENGA!H181+KILWA!H180+MITWABA!H180+PWETO!H180</f>
        <v>0</v>
      </c>
      <c r="I180" s="25">
        <f>KASENGA!I181+KILWA!I180+MITWABA!I180+PWETO!I180</f>
        <v>6</v>
      </c>
      <c r="J180" s="25">
        <f>KASENGA!J181+KILWA!J180+MITWABA!J180+PWETO!J180</f>
        <v>0</v>
      </c>
      <c r="K180" s="25">
        <f>KASENGA!K181+KILWA!K180+MITWABA!K180+PWETO!K180</f>
        <v>0</v>
      </c>
      <c r="L180" s="25">
        <f>KASENGA!L181+KILWA!L180+MITWABA!L180+PWETO!L180</f>
        <v>0</v>
      </c>
      <c r="M180" s="25">
        <f>KASENGA!M181+KILWA!M180+MITWABA!M180+PWETO!M180</f>
        <v>0</v>
      </c>
      <c r="N180" s="25">
        <f>KASENGA!N181+KILWA!N180+MITWABA!N180+PWETO!N180</f>
        <v>0</v>
      </c>
      <c r="O180" s="25">
        <f>KASENGA!O181+KILWA!O180+MITWABA!O180+PWETO!O180</f>
        <v>50</v>
      </c>
      <c r="P180" s="25">
        <f>KASENGA!P181+KILWA!P180+MITWABA!P180+PWETO!P180</f>
        <v>5</v>
      </c>
      <c r="Q180" s="25">
        <f>KASENGA!Q181+KILWA!Q180+MITWABA!Q180+PWETO!Q180</f>
        <v>66</v>
      </c>
      <c r="R180" s="25">
        <f>KASENGA!R181+KILWA!R180+MITWABA!R180+PWETO!R180</f>
        <v>7</v>
      </c>
      <c r="S180" s="25">
        <f>KASENGA!S181+KILWA!S180+MITWABA!S180+PWETO!S180</f>
        <v>73</v>
      </c>
    </row>
    <row r="181" spans="1:19" ht="15.6" customHeight="1" x14ac:dyDescent="0.3">
      <c r="A181" s="278" t="s">
        <v>10</v>
      </c>
      <c r="B181" s="279"/>
      <c r="C181" s="93">
        <f>KASENGA!C182+KILWA!C181+MITWABA!C181+PWETO!C181</f>
        <v>326</v>
      </c>
      <c r="D181" s="93">
        <f>KASENGA!D182+KILWA!D181+MITWABA!D181+PWETO!D181</f>
        <v>25</v>
      </c>
      <c r="E181" s="93">
        <f>KASENGA!E182+KILWA!E181+MITWABA!E181+PWETO!E181</f>
        <v>26</v>
      </c>
      <c r="F181" s="93">
        <f>KASENGA!F182+KILWA!F181+MITWABA!F181+PWETO!F181</f>
        <v>4</v>
      </c>
      <c r="G181" s="93">
        <f>KASENGA!G182+KILWA!G181+MITWABA!G181+PWETO!G181</f>
        <v>0</v>
      </c>
      <c r="H181" s="93">
        <f>KASENGA!H182+KILWA!H181+MITWABA!H181+PWETO!H181</f>
        <v>0</v>
      </c>
      <c r="I181" s="93">
        <f>KASENGA!I182+KILWA!I181+MITWABA!I181+PWETO!I181</f>
        <v>84</v>
      </c>
      <c r="J181" s="93">
        <f>KASENGA!J182+KILWA!J181+MITWABA!J181+PWETO!J181</f>
        <v>7</v>
      </c>
      <c r="K181" s="93">
        <f>KASENGA!K182+KILWA!K181+MITWABA!K181+PWETO!K181</f>
        <v>6</v>
      </c>
      <c r="L181" s="93">
        <f>KASENGA!L182+KILWA!L181+MITWABA!L181+PWETO!L181</f>
        <v>1</v>
      </c>
      <c r="M181" s="93">
        <f>KASENGA!M182+KILWA!M181+MITWABA!M181+PWETO!M181</f>
        <v>0</v>
      </c>
      <c r="N181" s="93">
        <f>KASENGA!N182+KILWA!N181+MITWABA!N181+PWETO!N181</f>
        <v>0</v>
      </c>
      <c r="O181" s="93">
        <f>KASENGA!O182+KILWA!O181+MITWABA!O181+PWETO!O181</f>
        <v>2774</v>
      </c>
      <c r="P181" s="93">
        <f>KASENGA!P182+KILWA!P181+MITWABA!P181+PWETO!P181</f>
        <v>189</v>
      </c>
      <c r="Q181" s="93">
        <f>KASENGA!Q182+KILWA!Q181+MITWABA!Q181+PWETO!Q181</f>
        <v>3216</v>
      </c>
      <c r="R181" s="93">
        <f>KASENGA!R182+KILWA!R181+MITWABA!R181+PWETO!R181</f>
        <v>226</v>
      </c>
      <c r="S181" s="93">
        <f>KASENGA!S182+KILWA!S181+MITWABA!S181+PWETO!S181</f>
        <v>3442</v>
      </c>
    </row>
    <row r="182" spans="1:19" x14ac:dyDescent="0.3">
      <c r="R182" s="50" t="s">
        <v>108</v>
      </c>
    </row>
  </sheetData>
  <mergeCells count="68">
    <mergeCell ref="A100:B100"/>
    <mergeCell ref="C104:D104"/>
    <mergeCell ref="Q172:S172"/>
    <mergeCell ref="O172:P172"/>
    <mergeCell ref="A181:B181"/>
    <mergeCell ref="K104:L104"/>
    <mergeCell ref="M104:N104"/>
    <mergeCell ref="O104:Q104"/>
    <mergeCell ref="A113:B113"/>
    <mergeCell ref="C172:D172"/>
    <mergeCell ref="E172:F172"/>
    <mergeCell ref="G172:H172"/>
    <mergeCell ref="I172:J172"/>
    <mergeCell ref="K172:L172"/>
    <mergeCell ref="M172:N172"/>
    <mergeCell ref="B165:B169"/>
    <mergeCell ref="E104:F104"/>
    <mergeCell ref="G104:H104"/>
    <mergeCell ref="I104:J104"/>
    <mergeCell ref="M66:N66"/>
    <mergeCell ref="B140:B144"/>
    <mergeCell ref="B145:B149"/>
    <mergeCell ref="B150:B154"/>
    <mergeCell ref="B155:B159"/>
    <mergeCell ref="B160:B164"/>
    <mergeCell ref="B115:R115"/>
    <mergeCell ref="B120:B124"/>
    <mergeCell ref="B125:B129"/>
    <mergeCell ref="B130:B134"/>
    <mergeCell ref="B135:B139"/>
    <mergeCell ref="A87:B87"/>
    <mergeCell ref="O66:Q66"/>
    <mergeCell ref="K78:M78"/>
    <mergeCell ref="K66:L66"/>
    <mergeCell ref="I66:J66"/>
    <mergeCell ref="A75:B75"/>
    <mergeCell ref="C78:D78"/>
    <mergeCell ref="E78:F78"/>
    <mergeCell ref="G78:H78"/>
    <mergeCell ref="I78:J78"/>
    <mergeCell ref="A15:B15"/>
    <mergeCell ref="A27:B27"/>
    <mergeCell ref="C30:D30"/>
    <mergeCell ref="E30:F30"/>
    <mergeCell ref="G30:H30"/>
    <mergeCell ref="I30:K30"/>
    <mergeCell ref="A39:B39"/>
    <mergeCell ref="C42:D42"/>
    <mergeCell ref="E42:F42"/>
    <mergeCell ref="G42:H42"/>
    <mergeCell ref="I42:J42"/>
    <mergeCell ref="K42:L42"/>
    <mergeCell ref="M42:O42"/>
    <mergeCell ref="A51:B51"/>
    <mergeCell ref="A63:B63"/>
    <mergeCell ref="B116:B119"/>
    <mergeCell ref="C116:C119"/>
    <mergeCell ref="D116:R116"/>
    <mergeCell ref="D117:E118"/>
    <mergeCell ref="F117:G118"/>
    <mergeCell ref="H117:I118"/>
    <mergeCell ref="J117:K118"/>
    <mergeCell ref="L117:M118"/>
    <mergeCell ref="N117:O118"/>
    <mergeCell ref="P117:R118"/>
    <mergeCell ref="C66:D66"/>
    <mergeCell ref="E66:F66"/>
    <mergeCell ref="G66:H66"/>
  </mergeCells>
  <phoneticPr fontId="17" type="noConversion"/>
  <pageMargins left="0.7" right="0.13" top="0.3" bottom="0.18" header="0.3" footer="0.14000000000000001"/>
  <pageSetup paperSize="9" scale="60" fitToHeight="0" orientation="landscape" horizontalDpi="429496729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0033-CDE2-40E1-A563-3BC3EE1686B9}">
  <dimension ref="A1:DS126"/>
  <sheetViews>
    <sheetView topLeftCell="A112" workbookViewId="0">
      <selection activeCell="I19" sqref="I19"/>
    </sheetView>
  </sheetViews>
  <sheetFormatPr baseColWidth="10" defaultRowHeight="14.4" x14ac:dyDescent="0.3"/>
  <cols>
    <col min="1" max="1" width="5.33203125" customWidth="1"/>
    <col min="2" max="2" width="17.21875" customWidth="1"/>
    <col min="3" max="3" width="13.33203125" customWidth="1"/>
  </cols>
  <sheetData>
    <row r="1" spans="1:89" x14ac:dyDescent="0.3">
      <c r="A1" s="1" t="s">
        <v>0</v>
      </c>
    </row>
    <row r="2" spans="1:89" x14ac:dyDescent="0.3">
      <c r="A2" s="1" t="s">
        <v>1</v>
      </c>
    </row>
    <row r="3" spans="1:89" x14ac:dyDescent="0.3">
      <c r="A3" s="1" t="s">
        <v>2</v>
      </c>
      <c r="D3" s="189" t="s">
        <v>90</v>
      </c>
      <c r="E3" s="189"/>
      <c r="F3" s="189"/>
      <c r="G3" s="189"/>
    </row>
    <row r="4" spans="1:89" x14ac:dyDescent="0.3">
      <c r="A4" s="1" t="s">
        <v>3</v>
      </c>
      <c r="D4" s="189" t="s">
        <v>76</v>
      </c>
      <c r="E4" s="189"/>
      <c r="F4" s="189"/>
      <c r="G4" s="189"/>
    </row>
    <row r="5" spans="1:89" ht="15" thickBot="1" x14ac:dyDescent="0.35">
      <c r="A5" s="1" t="s">
        <v>4</v>
      </c>
      <c r="D5" s="189" t="s">
        <v>89</v>
      </c>
      <c r="E5" s="189"/>
      <c r="F5" s="189"/>
      <c r="G5" s="189"/>
    </row>
    <row r="6" spans="1:89" x14ac:dyDescent="0.3">
      <c r="A6" s="1" t="s">
        <v>5</v>
      </c>
      <c r="CG6" s="2"/>
      <c r="CH6" s="2"/>
    </row>
    <row r="7" spans="1:89" ht="43.8" thickBot="1" x14ac:dyDescent="0.35">
      <c r="A7" s="13" t="s">
        <v>6</v>
      </c>
      <c r="B7" s="13" t="s">
        <v>18</v>
      </c>
      <c r="C7" s="13" t="s">
        <v>7</v>
      </c>
      <c r="D7" s="13" t="s">
        <v>8</v>
      </c>
      <c r="E7" s="13" t="s">
        <v>9</v>
      </c>
      <c r="F7" s="13" t="s">
        <v>10</v>
      </c>
      <c r="CG7" s="5"/>
      <c r="CH7" s="5"/>
    </row>
    <row r="8" spans="1:89" ht="15" thickBot="1" x14ac:dyDescent="0.35">
      <c r="A8" s="13">
        <v>1</v>
      </c>
      <c r="B8" s="13" t="s">
        <v>44</v>
      </c>
      <c r="C8" s="13">
        <v>3</v>
      </c>
      <c r="D8" s="13">
        <v>77</v>
      </c>
      <c r="E8" s="13">
        <v>59</v>
      </c>
      <c r="F8" s="13">
        <v>139</v>
      </c>
      <c r="CG8" s="4"/>
      <c r="CH8" s="4"/>
      <c r="CI8" s="4"/>
      <c r="CJ8" s="4"/>
      <c r="CK8" s="4"/>
    </row>
    <row r="9" spans="1:89" ht="15" thickBot="1" x14ac:dyDescent="0.35">
      <c r="A9" s="13">
        <v>2</v>
      </c>
      <c r="B9" s="13" t="s">
        <v>45</v>
      </c>
      <c r="C9" s="13">
        <v>7</v>
      </c>
      <c r="D9" s="13">
        <v>248</v>
      </c>
      <c r="E9" s="13">
        <v>102</v>
      </c>
      <c r="F9" s="13">
        <v>357</v>
      </c>
      <c r="CG9" s="4"/>
      <c r="CH9" s="4"/>
      <c r="CI9" s="4"/>
      <c r="CJ9" s="4"/>
      <c r="CK9" s="4"/>
    </row>
    <row r="10" spans="1:89" ht="15" thickBot="1" x14ac:dyDescent="0.35">
      <c r="A10" s="13">
        <v>3</v>
      </c>
      <c r="B10" s="13" t="s">
        <v>46</v>
      </c>
      <c r="C10" s="13">
        <v>2</v>
      </c>
      <c r="D10" s="13">
        <v>283</v>
      </c>
      <c r="E10" s="13">
        <v>135</v>
      </c>
      <c r="F10" s="13">
        <v>420</v>
      </c>
      <c r="CG10" s="4"/>
      <c r="CH10" s="4"/>
      <c r="CI10" s="4"/>
      <c r="CJ10" s="4"/>
      <c r="CK10" s="4"/>
    </row>
    <row r="11" spans="1:89" ht="15" thickBot="1" x14ac:dyDescent="0.35">
      <c r="A11" s="13">
        <v>4</v>
      </c>
      <c r="B11" s="13" t="s">
        <v>47</v>
      </c>
      <c r="C11" s="13">
        <v>0</v>
      </c>
      <c r="D11" s="13">
        <v>21</v>
      </c>
      <c r="E11" s="13">
        <v>7</v>
      </c>
      <c r="F11" s="13">
        <v>28</v>
      </c>
      <c r="CG11" s="4"/>
      <c r="CH11" s="4"/>
      <c r="CI11" s="4"/>
      <c r="CJ11" s="4"/>
      <c r="CK11" s="4"/>
    </row>
    <row r="12" spans="1:89" ht="15" thickBot="1" x14ac:dyDescent="0.35">
      <c r="A12" s="13">
        <v>5</v>
      </c>
      <c r="B12" s="13" t="s">
        <v>48</v>
      </c>
      <c r="C12" s="13">
        <v>0</v>
      </c>
      <c r="D12" s="13">
        <v>0</v>
      </c>
      <c r="E12" s="13">
        <v>1</v>
      </c>
      <c r="F12" s="13">
        <v>1</v>
      </c>
      <c r="CG12" s="4"/>
      <c r="CH12" s="4"/>
      <c r="CI12" s="4"/>
      <c r="CJ12" s="4"/>
      <c r="CK12" s="4"/>
    </row>
    <row r="13" spans="1:89" ht="15" thickBot="1" x14ac:dyDescent="0.35">
      <c r="A13" s="13">
        <v>6</v>
      </c>
      <c r="B13" s="13" t="s">
        <v>49</v>
      </c>
      <c r="C13" s="13">
        <v>0</v>
      </c>
      <c r="D13" s="13">
        <v>9</v>
      </c>
      <c r="E13" s="13">
        <v>6</v>
      </c>
      <c r="F13" s="13">
        <v>15</v>
      </c>
      <c r="CG13" s="4"/>
      <c r="CH13" s="4"/>
      <c r="CI13" s="4"/>
      <c r="CJ13" s="4"/>
      <c r="CK13" s="4"/>
    </row>
    <row r="14" spans="1:89" ht="15" thickBot="1" x14ac:dyDescent="0.35">
      <c r="A14" s="13">
        <v>7</v>
      </c>
      <c r="B14" s="13" t="s">
        <v>50</v>
      </c>
      <c r="C14" s="13">
        <v>1</v>
      </c>
      <c r="D14" s="13">
        <v>10</v>
      </c>
      <c r="E14" s="13">
        <v>6</v>
      </c>
      <c r="F14" s="13">
        <v>17</v>
      </c>
      <c r="CG14" s="4"/>
      <c r="CH14" s="4"/>
      <c r="CI14" s="4"/>
      <c r="CJ14" s="4"/>
      <c r="CK14" s="4"/>
    </row>
    <row r="15" spans="1:89" x14ac:dyDescent="0.3">
      <c r="A15" s="283" t="s">
        <v>10</v>
      </c>
      <c r="B15" s="283"/>
      <c r="C15" s="13">
        <v>13</v>
      </c>
      <c r="D15" s="13">
        <v>648</v>
      </c>
      <c r="E15" s="13">
        <v>316</v>
      </c>
      <c r="F15" s="13">
        <v>997</v>
      </c>
    </row>
    <row r="16" spans="1:89" ht="15" thickBot="1" x14ac:dyDescent="0.35">
      <c r="A16" s="1"/>
    </row>
    <row r="17" spans="1:99" x14ac:dyDescent="0.3">
      <c r="A17" s="7" t="s">
        <v>11</v>
      </c>
      <c r="CQ17" s="2"/>
      <c r="CR17" s="2"/>
    </row>
    <row r="18" spans="1:99" ht="21.6" customHeight="1" thickBot="1" x14ac:dyDescent="0.35">
      <c r="A18" s="7" t="s">
        <v>12</v>
      </c>
      <c r="CQ18" s="4"/>
      <c r="CR18" s="4"/>
      <c r="CS18" s="4"/>
      <c r="CT18" s="4"/>
      <c r="CU18" s="4"/>
    </row>
    <row r="19" spans="1:99" ht="43.8" thickBot="1" x14ac:dyDescent="0.35">
      <c r="A19" s="2" t="s">
        <v>6</v>
      </c>
      <c r="B19" s="3" t="s">
        <v>18</v>
      </c>
      <c r="C19" s="2" t="s">
        <v>13</v>
      </c>
      <c r="D19" s="2" t="s">
        <v>14</v>
      </c>
      <c r="E19" s="2" t="s">
        <v>15</v>
      </c>
      <c r="F19" s="2" t="s">
        <v>10</v>
      </c>
      <c r="CQ19" s="4"/>
      <c r="CR19" s="4"/>
      <c r="CS19" s="4"/>
      <c r="CT19" s="4"/>
      <c r="CU19" s="4"/>
    </row>
    <row r="20" spans="1:99" ht="15" thickBot="1" x14ac:dyDescent="0.35">
      <c r="A20" s="5">
        <v>1</v>
      </c>
      <c r="B20" s="4" t="s">
        <v>44</v>
      </c>
      <c r="C20" s="4"/>
      <c r="D20" s="4"/>
      <c r="E20" s="4"/>
      <c r="F20" s="4">
        <v>9</v>
      </c>
      <c r="CQ20" s="4"/>
      <c r="CR20" s="4"/>
      <c r="CS20" s="4"/>
      <c r="CT20" s="4"/>
      <c r="CU20" s="4"/>
    </row>
    <row r="21" spans="1:99" ht="15" thickBot="1" x14ac:dyDescent="0.35">
      <c r="A21" s="5">
        <v>2</v>
      </c>
      <c r="B21" s="4" t="s">
        <v>45</v>
      </c>
      <c r="C21" s="4"/>
      <c r="D21" s="4"/>
      <c r="E21" s="4"/>
      <c r="F21" s="4">
        <v>22</v>
      </c>
      <c r="CQ21" s="4"/>
      <c r="CR21" s="4"/>
      <c r="CS21" s="4"/>
      <c r="CT21" s="4"/>
      <c r="CU21" s="4"/>
    </row>
    <row r="22" spans="1:99" ht="15" thickBot="1" x14ac:dyDescent="0.35">
      <c r="A22" s="5">
        <v>3</v>
      </c>
      <c r="B22" s="4" t="s">
        <v>46</v>
      </c>
      <c r="C22" s="4"/>
      <c r="D22" s="4"/>
      <c r="E22" s="4"/>
      <c r="F22" s="4">
        <v>7</v>
      </c>
      <c r="CQ22" s="4"/>
      <c r="CR22" s="4"/>
      <c r="CS22" s="4"/>
      <c r="CT22" s="4"/>
      <c r="CU22" s="4"/>
    </row>
    <row r="23" spans="1:99" ht="15" thickBot="1" x14ac:dyDescent="0.35">
      <c r="A23" s="5">
        <v>4</v>
      </c>
      <c r="B23" s="4" t="s">
        <v>47</v>
      </c>
      <c r="C23" s="4"/>
      <c r="D23" s="4"/>
      <c r="E23" s="4"/>
      <c r="F23" s="4">
        <v>0</v>
      </c>
      <c r="CQ23" s="4"/>
      <c r="CR23" s="4"/>
      <c r="CS23" s="4"/>
      <c r="CT23" s="4"/>
      <c r="CU23" s="4"/>
    </row>
    <row r="24" spans="1:99" ht="15" thickBot="1" x14ac:dyDescent="0.35">
      <c r="A24" s="5">
        <v>5</v>
      </c>
      <c r="B24" s="4" t="s">
        <v>48</v>
      </c>
      <c r="C24" s="4"/>
      <c r="D24" s="4"/>
      <c r="E24" s="4"/>
      <c r="F24" s="4">
        <v>0</v>
      </c>
      <c r="CQ24" s="4"/>
      <c r="CR24" s="4"/>
      <c r="CS24" s="4"/>
      <c r="CT24" s="4"/>
      <c r="CU24" s="4"/>
    </row>
    <row r="25" spans="1:99" ht="15" thickBot="1" x14ac:dyDescent="0.35">
      <c r="A25" s="5">
        <v>6</v>
      </c>
      <c r="B25" s="4" t="s">
        <v>49</v>
      </c>
      <c r="C25" s="4"/>
      <c r="D25" s="4"/>
      <c r="E25" s="4"/>
      <c r="F25" s="4">
        <v>0</v>
      </c>
      <c r="CQ25" s="4"/>
      <c r="CR25" s="4"/>
      <c r="CS25" s="4"/>
      <c r="CT25" s="4"/>
      <c r="CU25" s="4"/>
    </row>
    <row r="26" spans="1:99" ht="15" thickBot="1" x14ac:dyDescent="0.35">
      <c r="A26" s="5">
        <v>7</v>
      </c>
      <c r="B26" s="4" t="s">
        <v>50</v>
      </c>
      <c r="C26" s="4"/>
      <c r="D26" s="4"/>
      <c r="E26" s="4"/>
      <c r="F26" s="4">
        <v>3</v>
      </c>
    </row>
    <row r="27" spans="1:99" ht="15" thickBot="1" x14ac:dyDescent="0.35">
      <c r="A27" s="285" t="s">
        <v>10</v>
      </c>
      <c r="B27" s="286"/>
      <c r="C27" s="4"/>
      <c r="D27" s="4"/>
      <c r="E27" s="4"/>
      <c r="F27" s="4">
        <v>41</v>
      </c>
    </row>
    <row r="28" spans="1:99" x14ac:dyDescent="0.3">
      <c r="A28" s="8"/>
    </row>
    <row r="29" spans="1:99" x14ac:dyDescent="0.3">
      <c r="A29" s="7" t="s">
        <v>16</v>
      </c>
    </row>
    <row r="30" spans="1:99" ht="43.2" x14ac:dyDescent="0.3">
      <c r="A30" s="13" t="s">
        <v>6</v>
      </c>
      <c r="B30" s="16" t="s">
        <v>18</v>
      </c>
      <c r="C30" s="284" t="s">
        <v>51</v>
      </c>
      <c r="D30" s="284"/>
      <c r="E30" s="284" t="s">
        <v>52</v>
      </c>
      <c r="F30" s="284"/>
      <c r="G30" s="284" t="s">
        <v>53</v>
      </c>
      <c r="H30" s="284"/>
      <c r="I30" s="297" t="s">
        <v>10</v>
      </c>
      <c r="J30" s="298"/>
      <c r="K30" s="299"/>
    </row>
    <row r="31" spans="1:99" x14ac:dyDescent="0.3">
      <c r="A31" s="13"/>
      <c r="B31" s="16"/>
      <c r="C31" s="14" t="s">
        <v>29</v>
      </c>
      <c r="D31" s="14" t="s">
        <v>30</v>
      </c>
      <c r="E31" s="14" t="s">
        <v>29</v>
      </c>
      <c r="F31" s="14" t="s">
        <v>30</v>
      </c>
      <c r="G31" s="14" t="s">
        <v>29</v>
      </c>
      <c r="H31" s="14" t="s">
        <v>30</v>
      </c>
      <c r="I31" s="14" t="s">
        <v>29</v>
      </c>
      <c r="J31" s="14" t="s">
        <v>30</v>
      </c>
      <c r="K31" s="14" t="s">
        <v>62</v>
      </c>
    </row>
    <row r="32" spans="1:99" x14ac:dyDescent="0.3">
      <c r="A32" s="13">
        <v>1</v>
      </c>
      <c r="B32" s="16" t="s">
        <v>44</v>
      </c>
      <c r="C32" s="14"/>
      <c r="D32" s="14"/>
      <c r="E32" s="14"/>
      <c r="F32" s="14"/>
      <c r="G32" s="14"/>
      <c r="H32" s="14"/>
      <c r="I32" s="14"/>
      <c r="J32" s="14">
        <v>60</v>
      </c>
      <c r="K32" s="14">
        <v>129</v>
      </c>
    </row>
    <row r="33" spans="1:15" ht="15" thickBot="1" x14ac:dyDescent="0.35">
      <c r="A33" s="5">
        <v>2</v>
      </c>
      <c r="B33" s="10" t="s">
        <v>45</v>
      </c>
      <c r="C33" s="14"/>
      <c r="D33" s="14"/>
      <c r="E33" s="14"/>
      <c r="F33" s="14"/>
      <c r="G33" s="14"/>
      <c r="H33" s="14"/>
      <c r="I33" s="14"/>
      <c r="J33" s="14">
        <v>282</v>
      </c>
      <c r="K33" s="14">
        <v>570</v>
      </c>
    </row>
    <row r="34" spans="1:15" ht="15" thickBot="1" x14ac:dyDescent="0.35">
      <c r="A34" s="5">
        <v>3</v>
      </c>
      <c r="B34" s="10" t="s">
        <v>46</v>
      </c>
      <c r="C34" s="14"/>
      <c r="D34" s="14"/>
      <c r="E34" s="14"/>
      <c r="F34" s="14"/>
      <c r="G34" s="14"/>
      <c r="H34" s="14"/>
      <c r="I34" s="14"/>
      <c r="J34" s="14">
        <v>42</v>
      </c>
      <c r="K34" s="14">
        <v>76</v>
      </c>
    </row>
    <row r="35" spans="1:15" ht="15" thickBot="1" x14ac:dyDescent="0.35">
      <c r="A35" s="5">
        <v>4</v>
      </c>
      <c r="B35" s="10" t="s">
        <v>47</v>
      </c>
      <c r="C35" s="14"/>
      <c r="D35" s="14"/>
      <c r="E35" s="14"/>
      <c r="F35" s="14"/>
      <c r="G35" s="14"/>
      <c r="H35" s="14"/>
      <c r="I35" s="14"/>
      <c r="J35" s="14">
        <v>0</v>
      </c>
      <c r="K35" s="14">
        <v>0</v>
      </c>
    </row>
    <row r="36" spans="1:15" ht="15" thickBot="1" x14ac:dyDescent="0.35">
      <c r="A36" s="5">
        <v>5</v>
      </c>
      <c r="B36" s="10" t="s">
        <v>48</v>
      </c>
      <c r="C36" s="14"/>
      <c r="D36" s="14"/>
      <c r="E36" s="14"/>
      <c r="F36" s="14"/>
      <c r="G36" s="14"/>
      <c r="H36" s="14"/>
      <c r="I36" s="14"/>
      <c r="J36" s="14">
        <v>0</v>
      </c>
      <c r="K36" s="14">
        <v>0</v>
      </c>
    </row>
    <row r="37" spans="1:15" ht="15" thickBot="1" x14ac:dyDescent="0.35">
      <c r="A37" s="5">
        <v>6</v>
      </c>
      <c r="B37" s="10" t="s">
        <v>49</v>
      </c>
      <c r="C37" s="14"/>
      <c r="D37" s="14"/>
      <c r="E37" s="14"/>
      <c r="F37" s="14"/>
      <c r="G37" s="14"/>
      <c r="H37" s="14"/>
      <c r="I37" s="14"/>
      <c r="J37" s="14">
        <v>0</v>
      </c>
      <c r="K37" s="14">
        <v>0</v>
      </c>
    </row>
    <row r="38" spans="1:15" ht="15" thickBot="1" x14ac:dyDescent="0.35">
      <c r="A38" s="5">
        <v>7</v>
      </c>
      <c r="B38" s="10" t="s">
        <v>50</v>
      </c>
      <c r="C38" s="14"/>
      <c r="D38" s="14"/>
      <c r="E38" s="14"/>
      <c r="F38" s="14"/>
      <c r="G38" s="14"/>
      <c r="H38" s="14"/>
      <c r="I38" s="14"/>
      <c r="J38" s="14">
        <v>9</v>
      </c>
      <c r="K38" s="14">
        <v>18</v>
      </c>
    </row>
    <row r="39" spans="1:15" ht="15" thickBot="1" x14ac:dyDescent="0.35">
      <c r="A39" s="285" t="s">
        <v>10</v>
      </c>
      <c r="B39" s="300"/>
      <c r="C39" s="14"/>
      <c r="D39" s="290"/>
      <c r="E39" s="290"/>
      <c r="F39" s="290"/>
      <c r="G39" s="290"/>
      <c r="H39" s="290"/>
      <c r="I39" s="290"/>
      <c r="J39" s="14">
        <v>393</v>
      </c>
      <c r="K39" s="14">
        <v>793</v>
      </c>
    </row>
    <row r="40" spans="1:15" x14ac:dyDescent="0.3">
      <c r="A40" s="8"/>
    </row>
    <row r="41" spans="1:15" x14ac:dyDescent="0.3">
      <c r="A41" s="1" t="s">
        <v>17</v>
      </c>
    </row>
    <row r="42" spans="1:15" ht="43.2" x14ac:dyDescent="0.3">
      <c r="A42" s="14" t="s">
        <v>6</v>
      </c>
      <c r="B42" s="14" t="s">
        <v>18</v>
      </c>
      <c r="C42" s="284" t="s">
        <v>64</v>
      </c>
      <c r="D42" s="284"/>
      <c r="E42" s="284" t="s">
        <v>63</v>
      </c>
      <c r="F42" s="284"/>
      <c r="G42" s="284" t="s">
        <v>65</v>
      </c>
      <c r="H42" s="284"/>
      <c r="I42" s="284" t="s">
        <v>66</v>
      </c>
      <c r="J42" s="284"/>
      <c r="K42" s="284" t="s">
        <v>61</v>
      </c>
      <c r="L42" s="284"/>
      <c r="M42" s="284" t="s">
        <v>10</v>
      </c>
      <c r="N42" s="284"/>
      <c r="O42" s="284"/>
    </row>
    <row r="43" spans="1:15" x14ac:dyDescent="0.3">
      <c r="A43" s="14"/>
      <c r="B43" s="14"/>
      <c r="C43" s="14" t="s">
        <v>43</v>
      </c>
      <c r="D43" s="14" t="s">
        <v>30</v>
      </c>
      <c r="E43" s="14" t="s">
        <v>43</v>
      </c>
      <c r="F43" s="14" t="s">
        <v>30</v>
      </c>
      <c r="G43" s="14" t="s">
        <v>43</v>
      </c>
      <c r="H43" s="14" t="s">
        <v>30</v>
      </c>
      <c r="I43" s="14" t="s">
        <v>43</v>
      </c>
      <c r="J43" s="14" t="s">
        <v>30</v>
      </c>
      <c r="K43" s="14" t="s">
        <v>43</v>
      </c>
      <c r="L43" s="14" t="s">
        <v>30</v>
      </c>
      <c r="M43" s="14" t="s">
        <v>43</v>
      </c>
      <c r="N43" s="14" t="s">
        <v>30</v>
      </c>
      <c r="O43" s="14" t="s">
        <v>67</v>
      </c>
    </row>
    <row r="44" spans="1:15" x14ac:dyDescent="0.3">
      <c r="A44" s="14">
        <v>1</v>
      </c>
      <c r="B44" s="14" t="s">
        <v>44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>
        <v>9</v>
      </c>
      <c r="O44" s="14">
        <v>9</v>
      </c>
    </row>
    <row r="45" spans="1:15" x14ac:dyDescent="0.3">
      <c r="A45" s="14">
        <v>2</v>
      </c>
      <c r="B45" s="14" t="s">
        <v>45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>
        <v>28</v>
      </c>
      <c r="O45" s="14">
        <v>28</v>
      </c>
    </row>
    <row r="46" spans="1:15" x14ac:dyDescent="0.3">
      <c r="A46" s="14">
        <v>3</v>
      </c>
      <c r="B46" s="14" t="s">
        <v>46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>
        <v>7</v>
      </c>
      <c r="O46" s="14">
        <v>7</v>
      </c>
    </row>
    <row r="47" spans="1:15" x14ac:dyDescent="0.3">
      <c r="A47" s="14">
        <v>4</v>
      </c>
      <c r="B47" s="14" t="s">
        <v>47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>
        <v>0</v>
      </c>
      <c r="O47" s="14">
        <v>0</v>
      </c>
    </row>
    <row r="48" spans="1:15" x14ac:dyDescent="0.3">
      <c r="A48" s="14">
        <v>5</v>
      </c>
      <c r="B48" s="14" t="s">
        <v>48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>
        <v>0</v>
      </c>
      <c r="O48" s="14">
        <v>0</v>
      </c>
    </row>
    <row r="49" spans="1:107" x14ac:dyDescent="0.3">
      <c r="A49" s="14">
        <v>6</v>
      </c>
      <c r="B49" s="14" t="s">
        <v>49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>
        <v>0</v>
      </c>
      <c r="O49" s="14">
        <v>0</v>
      </c>
    </row>
    <row r="50" spans="1:107" x14ac:dyDescent="0.3">
      <c r="A50" s="14">
        <v>7</v>
      </c>
      <c r="B50" s="14" t="s">
        <v>50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>
        <v>3</v>
      </c>
      <c r="O50" s="14">
        <v>3</v>
      </c>
    </row>
    <row r="51" spans="1:107" x14ac:dyDescent="0.3">
      <c r="A51" s="290" t="s">
        <v>10</v>
      </c>
      <c r="B51" s="290"/>
      <c r="C51" s="14"/>
      <c r="D51" s="290"/>
      <c r="E51" s="290"/>
      <c r="F51" s="290"/>
      <c r="G51" s="290"/>
      <c r="H51" s="290"/>
      <c r="I51" s="290"/>
      <c r="J51" s="14"/>
      <c r="K51" s="14"/>
      <c r="L51" s="14"/>
      <c r="M51" s="14"/>
      <c r="N51" s="14">
        <v>47</v>
      </c>
      <c r="O51" s="14">
        <v>47</v>
      </c>
    </row>
    <row r="53" spans="1:107" ht="15" thickBot="1" x14ac:dyDescent="0.35">
      <c r="A53" s="1" t="s">
        <v>19</v>
      </c>
    </row>
    <row r="54" spans="1:107" ht="15" thickBot="1" x14ac:dyDescent="0.35">
      <c r="A54" s="1" t="s">
        <v>20</v>
      </c>
      <c r="DA54" s="3"/>
    </row>
    <row r="55" spans="1:107" ht="43.8" thickBot="1" x14ac:dyDescent="0.35">
      <c r="A55" s="2" t="s">
        <v>6</v>
      </c>
      <c r="B55" s="3" t="s">
        <v>18</v>
      </c>
      <c r="C55" s="2" t="s">
        <v>21</v>
      </c>
      <c r="D55" s="2" t="s">
        <v>22</v>
      </c>
      <c r="E55" s="2" t="s">
        <v>23</v>
      </c>
      <c r="F55" s="2" t="s">
        <v>24</v>
      </c>
      <c r="G55" s="3" t="s">
        <v>25</v>
      </c>
      <c r="H55" s="3" t="s">
        <v>26</v>
      </c>
      <c r="I55" s="2" t="s">
        <v>10</v>
      </c>
      <c r="CX55" s="4"/>
      <c r="CY55" s="4"/>
      <c r="CZ55" s="4"/>
      <c r="DA55" s="4"/>
      <c r="DB55" s="4"/>
      <c r="DC55" s="4"/>
    </row>
    <row r="56" spans="1:107" ht="15" thickBot="1" x14ac:dyDescent="0.35">
      <c r="A56" s="5">
        <v>1</v>
      </c>
      <c r="B56" s="13" t="s">
        <v>44</v>
      </c>
      <c r="C56" s="12"/>
      <c r="D56" s="4"/>
      <c r="E56" s="4"/>
      <c r="F56" s="4"/>
      <c r="G56" s="4"/>
      <c r="H56" s="4"/>
      <c r="I56" s="4">
        <v>650</v>
      </c>
      <c r="CX56" s="4"/>
      <c r="CY56" s="4"/>
      <c r="CZ56" s="4"/>
      <c r="DA56" s="4"/>
      <c r="DB56" s="4"/>
      <c r="DC56" s="4"/>
    </row>
    <row r="57" spans="1:107" ht="15" thickBot="1" x14ac:dyDescent="0.35">
      <c r="A57" s="5">
        <v>2</v>
      </c>
      <c r="B57" s="4" t="s">
        <v>45</v>
      </c>
      <c r="C57" s="4"/>
      <c r="D57" s="4"/>
      <c r="E57" s="4"/>
      <c r="F57" s="4"/>
      <c r="G57" s="4"/>
      <c r="H57" s="4"/>
      <c r="I57" s="4">
        <v>1998</v>
      </c>
      <c r="CX57" s="4"/>
      <c r="CY57" s="4"/>
      <c r="CZ57" s="4"/>
      <c r="DA57" s="4"/>
      <c r="DB57" s="4"/>
      <c r="DC57" s="4"/>
    </row>
    <row r="58" spans="1:107" ht="15" thickBot="1" x14ac:dyDescent="0.35">
      <c r="A58" s="5">
        <v>3</v>
      </c>
      <c r="B58" s="4" t="s">
        <v>46</v>
      </c>
      <c r="C58" s="4"/>
      <c r="D58" s="4"/>
      <c r="E58" s="4"/>
      <c r="F58" s="4"/>
      <c r="G58" s="4"/>
      <c r="H58" s="4"/>
      <c r="I58" s="4">
        <v>1858</v>
      </c>
      <c r="CX58" s="4"/>
      <c r="CY58" s="4"/>
      <c r="CZ58" s="4"/>
      <c r="DA58" s="4"/>
      <c r="DB58" s="4"/>
      <c r="DC58" s="4"/>
    </row>
    <row r="59" spans="1:107" ht="15" thickBot="1" x14ac:dyDescent="0.35">
      <c r="A59" s="5">
        <v>4</v>
      </c>
      <c r="B59" s="4" t="s">
        <v>47</v>
      </c>
      <c r="C59" s="4"/>
      <c r="D59" s="4"/>
      <c r="E59" s="4"/>
      <c r="F59" s="4"/>
      <c r="G59" s="4"/>
      <c r="H59" s="4"/>
      <c r="I59" s="4">
        <v>108</v>
      </c>
      <c r="CX59" s="4"/>
      <c r="CY59" s="4"/>
      <c r="CZ59" s="4"/>
      <c r="DA59" s="4"/>
      <c r="DB59" s="4"/>
      <c r="DC59" s="4"/>
    </row>
    <row r="60" spans="1:107" ht="15" thickBot="1" x14ac:dyDescent="0.35">
      <c r="A60" s="5">
        <v>5</v>
      </c>
      <c r="B60" s="4" t="s">
        <v>48</v>
      </c>
      <c r="C60" s="4"/>
      <c r="D60" s="4"/>
      <c r="E60" s="4"/>
      <c r="F60" s="4"/>
      <c r="G60" s="4"/>
      <c r="H60" s="4"/>
      <c r="I60" s="4">
        <v>0</v>
      </c>
      <c r="CX60" s="4"/>
      <c r="CY60" s="4"/>
      <c r="CZ60" s="4"/>
      <c r="DA60" s="4"/>
      <c r="DB60" s="4"/>
      <c r="DC60" s="4"/>
    </row>
    <row r="61" spans="1:107" ht="15" thickBot="1" x14ac:dyDescent="0.35">
      <c r="A61" s="5">
        <v>6</v>
      </c>
      <c r="B61" s="4" t="s">
        <v>49</v>
      </c>
      <c r="C61" s="4"/>
      <c r="D61" s="4"/>
      <c r="E61" s="4"/>
      <c r="F61" s="4"/>
      <c r="G61" s="4"/>
      <c r="H61" s="4"/>
      <c r="I61" s="4">
        <v>56</v>
      </c>
      <c r="CX61" s="4"/>
      <c r="CY61" s="4"/>
      <c r="CZ61" s="4"/>
      <c r="DA61" s="4"/>
      <c r="DB61" s="4"/>
      <c r="DC61" s="4"/>
    </row>
    <row r="62" spans="1:107" ht="15" thickBot="1" x14ac:dyDescent="0.35">
      <c r="A62" s="5">
        <v>7</v>
      </c>
      <c r="B62" s="4" t="s">
        <v>50</v>
      </c>
      <c r="C62" s="4"/>
      <c r="D62" s="4"/>
      <c r="E62" s="4"/>
      <c r="F62" s="4"/>
      <c r="G62" s="4"/>
      <c r="H62" s="4"/>
      <c r="I62" s="4">
        <v>62</v>
      </c>
      <c r="CX62" s="4"/>
      <c r="CY62" s="4"/>
      <c r="CZ62" s="4"/>
      <c r="DA62" s="4"/>
      <c r="DB62" s="4"/>
      <c r="DC62" s="4"/>
    </row>
    <row r="63" spans="1:107" ht="15" thickBot="1" x14ac:dyDescent="0.35">
      <c r="A63" s="285" t="s">
        <v>10</v>
      </c>
      <c r="B63" s="286"/>
      <c r="C63" s="4"/>
      <c r="D63" s="4"/>
      <c r="E63" s="4"/>
      <c r="F63" s="4"/>
      <c r="G63" s="4"/>
      <c r="H63" s="4"/>
      <c r="I63" s="4">
        <v>4732</v>
      </c>
    </row>
    <row r="64" spans="1:107" x14ac:dyDescent="0.3">
      <c r="A64" s="1"/>
    </row>
    <row r="65" spans="1:17" x14ac:dyDescent="0.3">
      <c r="A65" s="291" t="s">
        <v>27</v>
      </c>
      <c r="B65" s="292"/>
      <c r="C65" s="292"/>
      <c r="D65" s="292"/>
      <c r="E65" s="292"/>
      <c r="F65" s="292"/>
      <c r="G65" s="292"/>
      <c r="H65" s="292"/>
      <c r="I65" s="292"/>
      <c r="J65" s="292"/>
      <c r="K65" s="292"/>
      <c r="L65" s="292"/>
      <c r="M65" s="292"/>
      <c r="N65" s="292"/>
      <c r="O65" s="292"/>
      <c r="P65" s="292"/>
      <c r="Q65" s="293"/>
    </row>
    <row r="66" spans="1:17" ht="43.2" x14ac:dyDescent="0.3">
      <c r="A66" s="14" t="s">
        <v>6</v>
      </c>
      <c r="B66" s="14" t="s">
        <v>18</v>
      </c>
      <c r="C66" s="284" t="s">
        <v>21</v>
      </c>
      <c r="D66" s="284"/>
      <c r="E66" s="284" t="s">
        <v>68</v>
      </c>
      <c r="F66" s="284"/>
      <c r="G66" s="284" t="s">
        <v>69</v>
      </c>
      <c r="H66" s="284"/>
      <c r="I66" s="284" t="s">
        <v>39</v>
      </c>
      <c r="J66" s="284"/>
      <c r="K66" s="284" t="s">
        <v>70</v>
      </c>
      <c r="L66" s="284"/>
      <c r="M66" s="284" t="s">
        <v>40</v>
      </c>
      <c r="N66" s="284"/>
      <c r="O66" s="284" t="s">
        <v>10</v>
      </c>
      <c r="P66" s="284"/>
      <c r="Q66" s="284"/>
    </row>
    <row r="67" spans="1:17" x14ac:dyDescent="0.3">
      <c r="A67" s="14"/>
      <c r="B67" s="14"/>
      <c r="C67" s="14" t="s">
        <v>29</v>
      </c>
      <c r="D67" s="14" t="s">
        <v>30</v>
      </c>
      <c r="E67" s="14" t="s">
        <v>29</v>
      </c>
      <c r="F67" s="14" t="s">
        <v>30</v>
      </c>
      <c r="G67" s="14" t="s">
        <v>29</v>
      </c>
      <c r="H67" s="14" t="s">
        <v>30</v>
      </c>
      <c r="I67" s="14" t="s">
        <v>29</v>
      </c>
      <c r="J67" s="14" t="s">
        <v>30</v>
      </c>
      <c r="K67" s="14" t="s">
        <v>29</v>
      </c>
      <c r="L67" s="14" t="s">
        <v>30</v>
      </c>
      <c r="M67" s="14" t="s">
        <v>29</v>
      </c>
      <c r="N67" s="14" t="s">
        <v>30</v>
      </c>
      <c r="O67" s="14" t="s">
        <v>29</v>
      </c>
      <c r="P67" s="14" t="s">
        <v>30</v>
      </c>
      <c r="Q67" s="14" t="s">
        <v>62</v>
      </c>
    </row>
    <row r="68" spans="1:17" x14ac:dyDescent="0.3">
      <c r="A68" s="14">
        <v>1</v>
      </c>
      <c r="B68" s="14" t="s">
        <v>44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12345</v>
      </c>
      <c r="Q68" s="14">
        <v>25240</v>
      </c>
    </row>
    <row r="69" spans="1:17" x14ac:dyDescent="0.3">
      <c r="A69" s="14">
        <v>2</v>
      </c>
      <c r="B69" s="14" t="s">
        <v>45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43760</v>
      </c>
      <c r="Q69" s="14">
        <v>88948</v>
      </c>
    </row>
    <row r="70" spans="1:17" x14ac:dyDescent="0.3">
      <c r="A70" s="14">
        <v>3</v>
      </c>
      <c r="B70" s="14" t="s">
        <v>46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46293</v>
      </c>
      <c r="Q70" s="14">
        <v>97322</v>
      </c>
    </row>
    <row r="71" spans="1:17" x14ac:dyDescent="0.3">
      <c r="A71" s="14">
        <v>4</v>
      </c>
      <c r="B71" s="14" t="s">
        <v>47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1908</v>
      </c>
      <c r="Q71" s="14">
        <v>4115</v>
      </c>
    </row>
    <row r="72" spans="1:17" x14ac:dyDescent="0.3">
      <c r="A72" s="14">
        <v>5</v>
      </c>
      <c r="B72" s="14" t="s">
        <v>48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0</v>
      </c>
      <c r="Q72" s="14">
        <v>0</v>
      </c>
    </row>
    <row r="73" spans="1:17" x14ac:dyDescent="0.3">
      <c r="A73" s="14">
        <v>6</v>
      </c>
      <c r="B73" s="14" t="s">
        <v>49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1407</v>
      </c>
      <c r="Q73" s="14">
        <v>3141</v>
      </c>
    </row>
    <row r="74" spans="1:17" x14ac:dyDescent="0.3">
      <c r="A74" s="14">
        <v>7</v>
      </c>
      <c r="B74" s="14" t="s">
        <v>50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1088</v>
      </c>
      <c r="Q74" s="14">
        <v>2071</v>
      </c>
    </row>
    <row r="75" spans="1:17" x14ac:dyDescent="0.3">
      <c r="A75" s="290" t="s">
        <v>10</v>
      </c>
      <c r="B75" s="290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106801</v>
      </c>
      <c r="Q75" s="14">
        <v>223543</v>
      </c>
    </row>
    <row r="76" spans="1:17" x14ac:dyDescent="0.3">
      <c r="A76" s="1"/>
    </row>
    <row r="77" spans="1:17" x14ac:dyDescent="0.3">
      <c r="A77" s="1" t="s">
        <v>31</v>
      </c>
    </row>
    <row r="78" spans="1:17" ht="43.2" x14ac:dyDescent="0.3">
      <c r="A78" s="14" t="s">
        <v>6</v>
      </c>
      <c r="B78" s="14" t="s">
        <v>18</v>
      </c>
      <c r="C78" s="284" t="s">
        <v>64</v>
      </c>
      <c r="D78" s="284"/>
      <c r="E78" s="284" t="s">
        <v>63</v>
      </c>
      <c r="F78" s="284"/>
      <c r="G78" s="284" t="s">
        <v>66</v>
      </c>
      <c r="H78" s="284"/>
      <c r="I78" s="284" t="s">
        <v>61</v>
      </c>
      <c r="J78" s="284"/>
      <c r="K78" s="287" t="s">
        <v>71</v>
      </c>
      <c r="L78" s="288"/>
      <c r="M78" s="289"/>
    </row>
    <row r="79" spans="1:17" x14ac:dyDescent="0.3">
      <c r="A79" s="14"/>
      <c r="B79" s="13"/>
      <c r="C79" s="14" t="s">
        <v>43</v>
      </c>
      <c r="D79" s="14" t="s">
        <v>30</v>
      </c>
      <c r="E79" s="14" t="s">
        <v>43</v>
      </c>
      <c r="F79" s="14" t="s">
        <v>30</v>
      </c>
      <c r="G79" s="14" t="s">
        <v>43</v>
      </c>
      <c r="H79" s="14" t="s">
        <v>30</v>
      </c>
      <c r="I79" s="14" t="s">
        <v>43</v>
      </c>
      <c r="J79" s="14" t="s">
        <v>30</v>
      </c>
      <c r="K79" s="14" t="s">
        <v>43</v>
      </c>
      <c r="L79" s="14" t="s">
        <v>30</v>
      </c>
      <c r="M79" s="14" t="s">
        <v>67</v>
      </c>
    </row>
    <row r="80" spans="1:17" x14ac:dyDescent="0.3">
      <c r="A80" s="14">
        <v>1</v>
      </c>
      <c r="B80" s="12" t="s">
        <v>44</v>
      </c>
      <c r="C80" s="14"/>
      <c r="D80" s="14"/>
      <c r="E80" s="14"/>
      <c r="F80" s="14"/>
      <c r="G80" s="14"/>
      <c r="H80" s="14"/>
      <c r="I80" s="14"/>
      <c r="J80" s="14"/>
      <c r="K80" s="14"/>
      <c r="L80" s="14">
        <v>116</v>
      </c>
      <c r="M80" s="14">
        <v>650</v>
      </c>
    </row>
    <row r="81" spans="1:123" ht="15" thickBot="1" x14ac:dyDescent="0.35">
      <c r="A81" s="14">
        <v>2</v>
      </c>
      <c r="B81" s="4" t="s">
        <v>45</v>
      </c>
      <c r="C81" s="14"/>
      <c r="D81" s="14"/>
      <c r="E81" s="14"/>
      <c r="F81" s="14"/>
      <c r="G81" s="14"/>
      <c r="H81" s="14"/>
      <c r="I81" s="14"/>
      <c r="J81" s="14"/>
      <c r="K81" s="14"/>
      <c r="L81" s="14">
        <v>331</v>
      </c>
      <c r="M81" s="14">
        <v>1998</v>
      </c>
    </row>
    <row r="82" spans="1:123" ht="15" thickBot="1" x14ac:dyDescent="0.35">
      <c r="A82" s="14">
        <v>3</v>
      </c>
      <c r="B82" s="4" t="s">
        <v>46</v>
      </c>
      <c r="C82" s="14"/>
      <c r="D82" s="14"/>
      <c r="E82" s="14"/>
      <c r="F82" s="14"/>
      <c r="G82" s="14"/>
      <c r="H82" s="14"/>
      <c r="I82" s="14"/>
      <c r="J82" s="14"/>
      <c r="K82" s="14"/>
      <c r="L82" s="14">
        <v>434</v>
      </c>
      <c r="M82" s="14">
        <v>1858</v>
      </c>
    </row>
    <row r="83" spans="1:123" ht="15" thickBot="1" x14ac:dyDescent="0.35">
      <c r="A83" s="14">
        <v>4</v>
      </c>
      <c r="B83" s="4" t="s">
        <v>47</v>
      </c>
      <c r="C83" s="14"/>
      <c r="D83" s="14"/>
      <c r="E83" s="14"/>
      <c r="F83" s="14"/>
      <c r="G83" s="14"/>
      <c r="H83" s="14"/>
      <c r="I83" s="14"/>
      <c r="J83" s="14"/>
      <c r="K83" s="14"/>
      <c r="L83" s="14">
        <v>17</v>
      </c>
      <c r="M83" s="14">
        <v>108</v>
      </c>
    </row>
    <row r="84" spans="1:123" ht="15" thickBot="1" x14ac:dyDescent="0.35">
      <c r="A84" s="14">
        <v>5</v>
      </c>
      <c r="B84" s="4" t="s">
        <v>48</v>
      </c>
      <c r="C84" s="14"/>
      <c r="D84" s="14"/>
      <c r="E84" s="14"/>
      <c r="F84" s="14"/>
      <c r="G84" s="14"/>
      <c r="H84" s="14"/>
      <c r="I84" s="14"/>
      <c r="J84" s="14"/>
      <c r="K84" s="14"/>
      <c r="L84" s="14">
        <v>0</v>
      </c>
      <c r="M84" s="14">
        <v>0</v>
      </c>
    </row>
    <row r="85" spans="1:123" ht="15" thickBot="1" x14ac:dyDescent="0.35">
      <c r="A85" s="14">
        <v>6</v>
      </c>
      <c r="B85" s="4" t="s">
        <v>49</v>
      </c>
      <c r="C85" s="14"/>
      <c r="D85" s="14"/>
      <c r="E85" s="14"/>
      <c r="F85" s="14"/>
      <c r="G85" s="14"/>
      <c r="H85" s="14"/>
      <c r="I85" s="14"/>
      <c r="J85" s="14"/>
      <c r="K85" s="14"/>
      <c r="L85" s="14">
        <v>20</v>
      </c>
      <c r="M85" s="14">
        <v>56</v>
      </c>
    </row>
    <row r="86" spans="1:123" ht="15" thickBot="1" x14ac:dyDescent="0.35">
      <c r="A86" s="14">
        <v>7</v>
      </c>
      <c r="B86" s="4" t="s">
        <v>50</v>
      </c>
      <c r="C86" s="14"/>
      <c r="D86" s="14"/>
      <c r="E86" s="14"/>
      <c r="F86" s="14"/>
      <c r="G86" s="14"/>
      <c r="H86" s="14"/>
      <c r="I86" s="14"/>
      <c r="J86" s="14"/>
      <c r="K86" s="14"/>
      <c r="L86" s="14">
        <v>24</v>
      </c>
      <c r="M86" s="14">
        <v>62</v>
      </c>
    </row>
    <row r="87" spans="1:123" x14ac:dyDescent="0.3">
      <c r="A87" s="290" t="s">
        <v>10</v>
      </c>
      <c r="B87" s="290"/>
      <c r="C87" s="14"/>
      <c r="D87" s="14"/>
      <c r="E87" s="14"/>
      <c r="F87" s="14"/>
      <c r="G87" s="14"/>
      <c r="H87" s="14"/>
      <c r="I87" s="14"/>
      <c r="J87" s="14"/>
      <c r="K87" s="14"/>
      <c r="L87" s="14">
        <v>940</v>
      </c>
      <c r="M87" s="14">
        <v>4732</v>
      </c>
    </row>
    <row r="88" spans="1:123" x14ac:dyDescent="0.3">
      <c r="A88" s="1"/>
    </row>
    <row r="89" spans="1:123" x14ac:dyDescent="0.3">
      <c r="A89" s="1"/>
    </row>
    <row r="90" spans="1:123" ht="15" thickBot="1" x14ac:dyDescent="0.35">
      <c r="A90" s="1" t="s">
        <v>32</v>
      </c>
    </row>
    <row r="91" spans="1:123" ht="15" thickBot="1" x14ac:dyDescent="0.35">
      <c r="A91" s="1" t="s">
        <v>33</v>
      </c>
      <c r="DQ91" s="2"/>
    </row>
    <row r="92" spans="1:123" ht="43.8" thickBot="1" x14ac:dyDescent="0.35">
      <c r="A92" s="2" t="s">
        <v>6</v>
      </c>
      <c r="B92" s="3" t="s">
        <v>41</v>
      </c>
      <c r="C92" s="2" t="s">
        <v>34</v>
      </c>
      <c r="D92" s="3" t="s">
        <v>42</v>
      </c>
      <c r="E92" s="2" t="s">
        <v>13</v>
      </c>
      <c r="F92" s="2" t="s">
        <v>35</v>
      </c>
      <c r="G92" s="2" t="s">
        <v>28</v>
      </c>
      <c r="H92" s="2" t="s">
        <v>36</v>
      </c>
      <c r="I92" s="2" t="s">
        <v>10</v>
      </c>
      <c r="DN92" s="4"/>
      <c r="DO92" s="4"/>
      <c r="DP92" s="4"/>
      <c r="DQ92" s="4"/>
      <c r="DR92" s="4"/>
      <c r="DS92" s="4"/>
    </row>
    <row r="93" spans="1:123" ht="15" thickBot="1" x14ac:dyDescent="0.35">
      <c r="A93" s="5">
        <v>1</v>
      </c>
      <c r="B93" s="13" t="s">
        <v>44</v>
      </c>
      <c r="C93" s="4"/>
      <c r="D93" s="4"/>
      <c r="E93" s="4"/>
      <c r="F93" s="4"/>
      <c r="G93" s="4"/>
      <c r="H93" s="4"/>
      <c r="I93" s="4">
        <v>368</v>
      </c>
      <c r="DN93" s="4"/>
      <c r="DO93" s="4"/>
      <c r="DP93" s="4"/>
      <c r="DQ93" s="4"/>
      <c r="DR93" s="4"/>
      <c r="DS93" s="4"/>
    </row>
    <row r="94" spans="1:123" ht="15" thickBot="1" x14ac:dyDescent="0.35">
      <c r="A94" s="5">
        <v>2</v>
      </c>
      <c r="B94" s="4" t="s">
        <v>45</v>
      </c>
      <c r="C94" s="4"/>
      <c r="D94" s="4"/>
      <c r="E94" s="4"/>
      <c r="F94" s="4"/>
      <c r="G94" s="4"/>
      <c r="H94" s="4"/>
      <c r="I94" s="4">
        <v>712</v>
      </c>
      <c r="DN94" s="4"/>
      <c r="DO94" s="4"/>
      <c r="DP94" s="4"/>
      <c r="DQ94" s="4"/>
      <c r="DR94" s="4"/>
      <c r="DS94" s="4"/>
    </row>
    <row r="95" spans="1:123" ht="15" thickBot="1" x14ac:dyDescent="0.35">
      <c r="A95" s="5">
        <v>3</v>
      </c>
      <c r="B95" s="4" t="s">
        <v>46</v>
      </c>
      <c r="C95" s="4"/>
      <c r="D95" s="4"/>
      <c r="E95" s="4"/>
      <c r="F95" s="4"/>
      <c r="G95" s="4"/>
      <c r="H95" s="4"/>
      <c r="I95" s="4">
        <v>913</v>
      </c>
      <c r="DN95" s="4"/>
      <c r="DO95" s="4"/>
      <c r="DP95" s="4"/>
      <c r="DQ95" s="4"/>
      <c r="DR95" s="4"/>
      <c r="DS95" s="4"/>
    </row>
    <row r="96" spans="1:123" ht="15" thickBot="1" x14ac:dyDescent="0.35">
      <c r="A96" s="5">
        <v>4</v>
      </c>
      <c r="B96" s="4" t="s">
        <v>47</v>
      </c>
      <c r="C96" s="4"/>
      <c r="D96" s="4"/>
      <c r="E96" s="4"/>
      <c r="F96" s="4"/>
      <c r="G96" s="4"/>
      <c r="H96" s="4"/>
      <c r="I96" s="4">
        <v>36</v>
      </c>
      <c r="DN96" s="4"/>
      <c r="DO96" s="4"/>
      <c r="DP96" s="4"/>
      <c r="DQ96" s="4"/>
      <c r="DR96" s="4"/>
      <c r="DS96" s="4"/>
    </row>
    <row r="97" spans="1:123" ht="15" thickBot="1" x14ac:dyDescent="0.35">
      <c r="A97" s="5">
        <v>5</v>
      </c>
      <c r="B97" s="4" t="s">
        <v>48</v>
      </c>
      <c r="C97" s="4"/>
      <c r="D97" s="4"/>
      <c r="E97" s="4"/>
      <c r="F97" s="4"/>
      <c r="G97" s="4"/>
      <c r="H97" s="4"/>
      <c r="I97" s="4">
        <v>3</v>
      </c>
      <c r="DN97" s="4"/>
      <c r="DO97" s="4"/>
      <c r="DP97" s="4"/>
      <c r="DQ97" s="4"/>
      <c r="DR97" s="4"/>
      <c r="DS97" s="4"/>
    </row>
    <row r="98" spans="1:123" ht="15" thickBot="1" x14ac:dyDescent="0.35">
      <c r="A98" s="5">
        <v>6</v>
      </c>
      <c r="B98" s="4" t="s">
        <v>49</v>
      </c>
      <c r="C98" s="4"/>
      <c r="D98" s="4"/>
      <c r="E98" s="4"/>
      <c r="F98" s="4"/>
      <c r="G98" s="4"/>
      <c r="H98" s="4"/>
      <c r="I98" s="4">
        <v>60</v>
      </c>
      <c r="DN98" s="4"/>
      <c r="DO98" s="4"/>
      <c r="DP98" s="4"/>
      <c r="DQ98" s="4"/>
      <c r="DR98" s="4"/>
      <c r="DS98" s="4"/>
    </row>
    <row r="99" spans="1:123" ht="15" thickBot="1" x14ac:dyDescent="0.35">
      <c r="A99" s="5">
        <v>7</v>
      </c>
      <c r="B99" s="4" t="s">
        <v>50</v>
      </c>
      <c r="C99" s="4"/>
      <c r="D99" s="4"/>
      <c r="E99" s="4"/>
      <c r="F99" s="4"/>
      <c r="G99" s="4"/>
      <c r="H99" s="4"/>
      <c r="I99" s="4">
        <v>48</v>
      </c>
      <c r="DN99" s="4"/>
      <c r="DO99" s="4"/>
      <c r="DP99" s="4"/>
      <c r="DQ99" s="4"/>
      <c r="DR99" s="4"/>
      <c r="DS99" s="4"/>
    </row>
    <row r="100" spans="1:123" ht="15" thickBot="1" x14ac:dyDescent="0.35">
      <c r="A100" s="285" t="s">
        <v>10</v>
      </c>
      <c r="B100" s="286"/>
      <c r="C100" s="4"/>
      <c r="D100" s="4"/>
      <c r="E100" s="4"/>
      <c r="F100" s="4"/>
      <c r="G100" s="4"/>
      <c r="H100" s="4"/>
      <c r="I100" s="4">
        <v>2140</v>
      </c>
    </row>
    <row r="101" spans="1:123" x14ac:dyDescent="0.3">
      <c r="A101" s="1"/>
    </row>
    <row r="102" spans="1:123" x14ac:dyDescent="0.3">
      <c r="A102" s="1" t="s">
        <v>37</v>
      </c>
    </row>
    <row r="103" spans="1:123" ht="15" thickBot="1" x14ac:dyDescent="0.35">
      <c r="A103" s="1"/>
    </row>
    <row r="104" spans="1:123" ht="43.2" x14ac:dyDescent="0.3">
      <c r="A104" s="11" t="s">
        <v>6</v>
      </c>
      <c r="B104" s="14" t="s">
        <v>18</v>
      </c>
      <c r="C104" s="284" t="s">
        <v>34</v>
      </c>
      <c r="D104" s="284"/>
      <c r="E104" s="284" t="s">
        <v>42</v>
      </c>
      <c r="F104" s="284"/>
      <c r="G104" s="284" t="s">
        <v>13</v>
      </c>
      <c r="H104" s="284"/>
      <c r="I104" s="284" t="s">
        <v>35</v>
      </c>
      <c r="J104" s="284"/>
      <c r="K104" s="284" t="s">
        <v>28</v>
      </c>
      <c r="L104" s="284"/>
      <c r="M104" s="284" t="s">
        <v>36</v>
      </c>
      <c r="N104" s="284"/>
      <c r="O104" s="284" t="s">
        <v>10</v>
      </c>
      <c r="P104" s="284"/>
      <c r="Q104" s="284"/>
    </row>
    <row r="105" spans="1:123" ht="15" thickBot="1" x14ac:dyDescent="0.35">
      <c r="A105" s="6"/>
      <c r="B105" s="14"/>
      <c r="C105" s="14" t="s">
        <v>29</v>
      </c>
      <c r="D105" s="14" t="s">
        <v>30</v>
      </c>
      <c r="E105" s="14" t="s">
        <v>29</v>
      </c>
      <c r="F105" s="14" t="s">
        <v>30</v>
      </c>
      <c r="G105" s="14" t="s">
        <v>29</v>
      </c>
      <c r="H105" s="14" t="s">
        <v>30</v>
      </c>
      <c r="I105" s="14" t="s">
        <v>29</v>
      </c>
      <c r="J105" s="14" t="s">
        <v>30</v>
      </c>
      <c r="K105" s="14" t="s">
        <v>29</v>
      </c>
      <c r="L105" s="14" t="s">
        <v>30</v>
      </c>
      <c r="M105" s="14" t="s">
        <v>29</v>
      </c>
      <c r="N105" s="14" t="s">
        <v>30</v>
      </c>
      <c r="O105" s="14" t="s">
        <v>29</v>
      </c>
      <c r="P105" s="14" t="s">
        <v>30</v>
      </c>
      <c r="Q105" s="14" t="s">
        <v>62</v>
      </c>
    </row>
    <row r="106" spans="1:123" ht="15" thickBot="1" x14ac:dyDescent="0.35">
      <c r="A106" s="6">
        <v>1</v>
      </c>
      <c r="B106" s="14" t="s">
        <v>44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>
        <v>3558</v>
      </c>
      <c r="Q106" s="14">
        <v>10077</v>
      </c>
    </row>
    <row r="107" spans="1:123" ht="15" thickBot="1" x14ac:dyDescent="0.35">
      <c r="A107" s="6">
        <v>2</v>
      </c>
      <c r="B107" s="14" t="s">
        <v>45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>
        <v>6967</v>
      </c>
      <c r="Q107" s="14">
        <v>17864</v>
      </c>
    </row>
    <row r="108" spans="1:123" ht="15" thickBot="1" x14ac:dyDescent="0.35">
      <c r="A108" s="6">
        <v>3</v>
      </c>
      <c r="B108" s="14" t="s">
        <v>46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>
        <v>9292</v>
      </c>
      <c r="Q108" s="14">
        <v>23822</v>
      </c>
    </row>
    <row r="109" spans="1:123" ht="15" thickBot="1" x14ac:dyDescent="0.35">
      <c r="A109" s="5">
        <v>4</v>
      </c>
      <c r="B109" s="4" t="s">
        <v>47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>
        <v>282</v>
      </c>
      <c r="Q109" s="4">
        <v>833</v>
      </c>
    </row>
    <row r="110" spans="1:123" ht="15" thickBot="1" x14ac:dyDescent="0.35">
      <c r="A110" s="5">
        <v>5</v>
      </c>
      <c r="B110" s="4" t="s">
        <v>48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>
        <v>15</v>
      </c>
      <c r="Q110" s="4">
        <v>44</v>
      </c>
    </row>
    <row r="111" spans="1:123" ht="15" thickBot="1" x14ac:dyDescent="0.35">
      <c r="A111" s="5">
        <v>6</v>
      </c>
      <c r="B111" s="4" t="s">
        <v>49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>
        <v>646</v>
      </c>
      <c r="Q111" s="4">
        <v>1399</v>
      </c>
    </row>
    <row r="112" spans="1:123" ht="15" thickBot="1" x14ac:dyDescent="0.35">
      <c r="A112" s="5">
        <v>7</v>
      </c>
      <c r="B112" s="4" t="s">
        <v>50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>
        <v>337</v>
      </c>
      <c r="Q112" s="4">
        <v>835</v>
      </c>
    </row>
    <row r="113" spans="1:19" ht="15" thickBot="1" x14ac:dyDescent="0.35">
      <c r="A113" s="285" t="s">
        <v>10</v>
      </c>
      <c r="B113" s="286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>
        <v>21097</v>
      </c>
      <c r="Q113" s="4">
        <v>52165</v>
      </c>
    </row>
    <row r="114" spans="1:19" x14ac:dyDescent="0.3">
      <c r="A114" s="1"/>
    </row>
    <row r="115" spans="1:19" x14ac:dyDescent="0.3">
      <c r="A115" s="1" t="s">
        <v>38</v>
      </c>
    </row>
    <row r="116" spans="1:19" x14ac:dyDescent="0.3">
      <c r="A116" s="1"/>
    </row>
    <row r="117" spans="1:19" ht="43.2" x14ac:dyDescent="0.3">
      <c r="A117" s="13" t="s">
        <v>6</v>
      </c>
      <c r="B117" s="13" t="s">
        <v>18</v>
      </c>
      <c r="C117" s="282" t="s">
        <v>55</v>
      </c>
      <c r="D117" s="282"/>
      <c r="E117" s="282" t="s">
        <v>56</v>
      </c>
      <c r="F117" s="282"/>
      <c r="G117" s="282" t="s">
        <v>57</v>
      </c>
      <c r="H117" s="282"/>
      <c r="I117" s="282" t="s">
        <v>58</v>
      </c>
      <c r="J117" s="282"/>
      <c r="K117" s="282" t="s">
        <v>59</v>
      </c>
      <c r="L117" s="282"/>
      <c r="M117" s="282" t="s">
        <v>60</v>
      </c>
      <c r="N117" s="282"/>
      <c r="O117" s="282" t="s">
        <v>61</v>
      </c>
      <c r="P117" s="282"/>
      <c r="Q117" s="294" t="s">
        <v>10</v>
      </c>
      <c r="R117" s="295"/>
      <c r="S117" s="296"/>
    </row>
    <row r="118" spans="1:19" x14ac:dyDescent="0.3">
      <c r="A118" s="13"/>
      <c r="B118" s="13"/>
      <c r="C118" s="13" t="s">
        <v>43</v>
      </c>
      <c r="D118" s="13" t="s">
        <v>30</v>
      </c>
      <c r="E118" s="13" t="s">
        <v>43</v>
      </c>
      <c r="F118" s="13" t="s">
        <v>30</v>
      </c>
      <c r="G118" s="13" t="s">
        <v>43</v>
      </c>
      <c r="H118" s="13" t="s">
        <v>30</v>
      </c>
      <c r="I118" s="13" t="s">
        <v>43</v>
      </c>
      <c r="J118" s="13" t="s">
        <v>30</v>
      </c>
      <c r="K118" s="13" t="s">
        <v>43</v>
      </c>
      <c r="L118" s="13" t="s">
        <v>30</v>
      </c>
      <c r="M118" s="13" t="s">
        <v>43</v>
      </c>
      <c r="N118" s="13" t="s">
        <v>30</v>
      </c>
      <c r="O118" s="13" t="s">
        <v>43</v>
      </c>
      <c r="P118" s="13" t="s">
        <v>30</v>
      </c>
      <c r="Q118" s="13" t="s">
        <v>43</v>
      </c>
      <c r="R118" s="13" t="s">
        <v>30</v>
      </c>
      <c r="S118" s="17" t="s">
        <v>67</v>
      </c>
    </row>
    <row r="119" spans="1:19" x14ac:dyDescent="0.3">
      <c r="A119" s="13">
        <v>1</v>
      </c>
      <c r="B119" s="13" t="s">
        <v>44</v>
      </c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>
        <v>25</v>
      </c>
      <c r="S119" s="17">
        <v>472</v>
      </c>
    </row>
    <row r="120" spans="1:19" x14ac:dyDescent="0.3">
      <c r="A120" s="13">
        <v>2</v>
      </c>
      <c r="B120" s="13" t="s">
        <v>45</v>
      </c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>
        <v>79</v>
      </c>
      <c r="S120" s="17">
        <v>1016</v>
      </c>
    </row>
    <row r="121" spans="1:19" x14ac:dyDescent="0.3">
      <c r="A121" s="13">
        <v>3</v>
      </c>
      <c r="B121" s="13" t="s">
        <v>46</v>
      </c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>
        <v>73</v>
      </c>
      <c r="S121" s="17">
        <v>1281</v>
      </c>
    </row>
    <row r="122" spans="1:19" x14ac:dyDescent="0.3">
      <c r="A122" s="13">
        <v>4</v>
      </c>
      <c r="B122" s="13" t="s">
        <v>47</v>
      </c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>
        <v>53</v>
      </c>
      <c r="R122" s="13">
        <v>2</v>
      </c>
      <c r="S122" s="17">
        <v>55</v>
      </c>
    </row>
    <row r="123" spans="1:19" x14ac:dyDescent="0.3">
      <c r="A123" s="13">
        <v>5</v>
      </c>
      <c r="B123" s="13" t="s">
        <v>48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>
        <v>0</v>
      </c>
      <c r="R123" s="13">
        <v>0</v>
      </c>
      <c r="S123" s="17">
        <v>4</v>
      </c>
    </row>
    <row r="124" spans="1:19" x14ac:dyDescent="0.3">
      <c r="A124" s="13">
        <v>6</v>
      </c>
      <c r="B124" s="13" t="s">
        <v>49</v>
      </c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>
        <v>75</v>
      </c>
      <c r="R124" s="13">
        <v>5</v>
      </c>
      <c r="S124" s="17">
        <v>80</v>
      </c>
    </row>
    <row r="125" spans="1:19" x14ac:dyDescent="0.3">
      <c r="A125" s="13">
        <v>7</v>
      </c>
      <c r="B125" s="13" t="s">
        <v>50</v>
      </c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>
        <v>50</v>
      </c>
      <c r="R125" s="13">
        <v>5</v>
      </c>
      <c r="S125" s="17">
        <v>55</v>
      </c>
    </row>
    <row r="126" spans="1:19" x14ac:dyDescent="0.3">
      <c r="A126" s="283" t="s">
        <v>10</v>
      </c>
      <c r="B126" s="28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>
        <v>189</v>
      </c>
      <c r="S126" s="17">
        <v>2963</v>
      </c>
    </row>
  </sheetData>
  <mergeCells count="53">
    <mergeCell ref="A15:B15"/>
    <mergeCell ref="Q117:S117"/>
    <mergeCell ref="M42:O42"/>
    <mergeCell ref="A27:B27"/>
    <mergeCell ref="C30:D30"/>
    <mergeCell ref="E30:F30"/>
    <mergeCell ref="G30:H30"/>
    <mergeCell ref="I30:K30"/>
    <mergeCell ref="A39:B39"/>
    <mergeCell ref="D39:I39"/>
    <mergeCell ref="C42:D42"/>
    <mergeCell ref="E42:F42"/>
    <mergeCell ref="G42:H42"/>
    <mergeCell ref="I42:J42"/>
    <mergeCell ref="K42:L42"/>
    <mergeCell ref="A51:B51"/>
    <mergeCell ref="D51:I51"/>
    <mergeCell ref="A63:B63"/>
    <mergeCell ref="A65:Q65"/>
    <mergeCell ref="C66:D66"/>
    <mergeCell ref="E66:F66"/>
    <mergeCell ref="G66:H66"/>
    <mergeCell ref="I66:J66"/>
    <mergeCell ref="K66:L66"/>
    <mergeCell ref="M66:N66"/>
    <mergeCell ref="O66:Q66"/>
    <mergeCell ref="A75:B75"/>
    <mergeCell ref="C78:D78"/>
    <mergeCell ref="E78:F78"/>
    <mergeCell ref="G78:H78"/>
    <mergeCell ref="I78:J78"/>
    <mergeCell ref="K78:M78"/>
    <mergeCell ref="A87:B87"/>
    <mergeCell ref="A100:B100"/>
    <mergeCell ref="C104:D104"/>
    <mergeCell ref="E104:F104"/>
    <mergeCell ref="G104:H104"/>
    <mergeCell ref="D3:G3"/>
    <mergeCell ref="D4:G4"/>
    <mergeCell ref="D5:G5"/>
    <mergeCell ref="O117:P117"/>
    <mergeCell ref="A126:B126"/>
    <mergeCell ref="K104:L104"/>
    <mergeCell ref="M104:N104"/>
    <mergeCell ref="O104:Q104"/>
    <mergeCell ref="A113:B113"/>
    <mergeCell ref="C117:D117"/>
    <mergeCell ref="E117:F117"/>
    <mergeCell ref="G117:H117"/>
    <mergeCell ref="I117:J117"/>
    <mergeCell ref="K117:L117"/>
    <mergeCell ref="M117:N117"/>
    <mergeCell ref="I104:J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KASENGA</vt:lpstr>
      <vt:lpstr>KILWA</vt:lpstr>
      <vt:lpstr>MITWABA</vt:lpstr>
      <vt:lpstr>PWETO</vt:lpstr>
      <vt:lpstr>SYNTHESE_HKAT_2</vt:lpstr>
      <vt:lpstr>SYNTHESE GENERALE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2025-08-04T12:34:43Z</cp:lastPrinted>
  <dcterms:created xsi:type="dcterms:W3CDTF">2015-06-05T18:19:34Z</dcterms:created>
  <dcterms:modified xsi:type="dcterms:W3CDTF">2026-02-26T12:01:24Z</dcterms:modified>
</cp:coreProperties>
</file>